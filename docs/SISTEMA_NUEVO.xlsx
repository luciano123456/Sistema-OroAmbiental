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Oasis Desktop\Desktop\"/>
    </mc:Choice>
  </mc:AlternateContent>
  <xr:revisionPtr revIDLastSave="0" documentId="13_ncr:1_{A6EBC92E-4490-46F5-894A-255B679157B0}" xr6:coauthVersionLast="47" xr6:coauthVersionMax="47" xr10:uidLastSave="{00000000-0000-0000-0000-000000000000}"/>
  <bookViews>
    <workbookView xWindow="-120" yWindow="-120" windowWidth="21840" windowHeight="13140" xr2:uid="{4CE9AFF7-5C5B-46D7-8229-A95BE56FEB9E}"/>
  </bookViews>
  <sheets>
    <sheet name="CLIENTES" sheetId="1" r:id="rId1"/>
    <sheet name="CAJA" sheetId="2" r:id="rId2"/>
    <sheet name="CAJA BANCARIA" sheetId="5" r:id="rId3"/>
    <sheet name="INVENTARIO"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X48" i="1" l="1"/>
  <c r="V48" i="1"/>
  <c r="U48" i="1"/>
  <c r="T48" i="1"/>
</calcChain>
</file>

<file path=xl/sharedStrings.xml><?xml version="1.0" encoding="utf-8"?>
<sst xmlns="http://schemas.openxmlformats.org/spreadsheetml/2006/main" count="299" uniqueCount="159">
  <si>
    <t xml:space="preserve">CLIENTE </t>
  </si>
  <si>
    <t xml:space="preserve">ADEMAS DE LOS DATOS  QUE YA ESTAN VOLCADOS FALTA. </t>
  </si>
  <si>
    <t>quedaria algo así</t>
  </si>
  <si>
    <t xml:space="preserve">DENTRO DE CLIENTES LA SOLAPA GENERAL </t>
  </si>
  <si>
    <t xml:space="preserve">STOCK DE CLIENTES ACTIVOS </t>
  </si>
  <si>
    <t>STOCK DE CIENTES SUSPENDIDOS</t>
  </si>
  <si>
    <t xml:space="preserve">STOCK DE CLIENTES CON BAJA </t>
  </si>
  <si>
    <t xml:space="preserve">SI ES POSIBLE QUE DIGA CUANTOS SE DIERON DE BAJA POR MES </t>
  </si>
  <si>
    <t xml:space="preserve">DENTRO DE CLIENTES EN LA LISTA ELIJO UN CLIENTE EN PARTICULAR </t>
  </si>
  <si>
    <t>HERRERA Juan</t>
  </si>
  <si>
    <t xml:space="preserve">STOCK DE CLIENTES CON LICENCIA ( si es posible poder poner el tiempo que esta con licencia y que cuando se cumpla el tiempo nos de un alerta con los que ya cumplieron dicho tiempo para ver si continuan) </t>
  </si>
  <si>
    <t>SOLAPA CAJA / LIBRO DIARIO</t>
  </si>
  <si>
    <t xml:space="preserve">LO QUE NECECITAMOS ACA ES LO SIGUIENTE </t>
  </si>
  <si>
    <t xml:space="preserve">FECHA </t>
  </si>
  <si>
    <t xml:space="preserve">CONCEPTO </t>
  </si>
  <si>
    <t xml:space="preserve">CLIENTE / PROVEEDOR </t>
  </si>
  <si>
    <t>OTRA COSA A LA QUE DEBE HACER MENCIÓN ES:</t>
  </si>
  <si>
    <t xml:space="preserve">RECORRIDO ASIGNADO </t>
  </si>
  <si>
    <t>Para entender esto hay que entender que como es el servicio con el cliente que ya nos contrato se le pregunta días y horarios en que esta en el consultorio si es que se puede lo ubicamos en un recorrido donde coincida con sus días y horarios si no se puede el debe amoldarse a cuando nosotros podemos por ende nosotros tenemos 7 días a la semana y mínimo 4 semanas al mes y quedaría así:</t>
  </si>
  <si>
    <t>LUNES</t>
  </si>
  <si>
    <t>MARTES</t>
  </si>
  <si>
    <t xml:space="preserve">MIERCOLES </t>
  </si>
  <si>
    <t xml:space="preserve">JUEVES </t>
  </si>
  <si>
    <t xml:space="preserve">VIERNES </t>
  </si>
  <si>
    <t>SABADO</t>
  </si>
  <si>
    <t>DOMINGO</t>
  </si>
  <si>
    <t>PRIMER</t>
  </si>
  <si>
    <t xml:space="preserve">SEGUNDO </t>
  </si>
  <si>
    <t>CUARTO</t>
  </si>
  <si>
    <t xml:space="preserve">TERCER </t>
  </si>
  <si>
    <t>EN EL RECORRIDO DEL 1º LUNES SE HACE ZONA LANUS</t>
  </si>
  <si>
    <t xml:space="preserve">POR EJEMPLO </t>
  </si>
  <si>
    <t xml:space="preserve">EN EL RECORRIDO DEL 1º MARTES SE HACE ZONA LOMAS DE ZAMORA </t>
  </si>
  <si>
    <t>EN EL RECORRIDO DEL 1º MIERCOLES SE HACE RAMOS MEJIA</t>
  </si>
  <si>
    <t>EN EL RECORRIDO DEL 3º JUEVES SE HACE ZONA LANUS ( COMO PODRÁN OBSERVAR SE HACE LA ZONA LANUS DOS VECES EN ESTE EJEPLO)</t>
  </si>
  <si>
    <t>Ante ello necesitamos que figure al ingresar al ciente en que recorridos esta (en este caja 3º JUVES) y que posición (15) y si esta en otro recorrdio informar los mismos datos de dichos recorridos</t>
  </si>
  <si>
    <t>En este ítem necesitamos poder desplegar las opciones preestablecidas por ejemplo que diga HERRERA Juan, BENITEZ Ricardo (TODOS ELLOS CLIENTES), CARTOCOR S.A.(EJEMPLO DE PROVEEDOR), etc. es decir que por ejemplo pongamos la h y aparezcan todos los herrera y a medida que pongamos más datos acote la búsqueda también nos facilitaría mucho si podemos poner como búsqueda por ejemplo RECORRIDO 3ºJUEVES y despliegue los de dicho día, también al poner los caracteres que vayan identificando también aparezcan los de los proveedores dado a que ingresaremos las ingresos y egresos monetarios y en caso de ser necesario poder poner otra cosa o nada.</t>
  </si>
  <si>
    <t xml:space="preserve">ITEMS QUE NO SE ENTIENDEN </t>
  </si>
  <si>
    <t>ORIGEN</t>
  </si>
  <si>
    <t>QUE NO SE DE DONDE SACA Y PONE MANUAL</t>
  </si>
  <si>
    <t xml:space="preserve">CUENTA </t>
  </si>
  <si>
    <t>UNIDADES</t>
  </si>
  <si>
    <t xml:space="preserve">UNIDADES </t>
  </si>
  <si>
    <t>En este ítem necesitamos poder poner la cantidad de cajas (unidades que solicito el cliente que multiplicado por el monto que está establecido según el concepto con monto prestablecido nos dará el saldo total)</t>
  </si>
  <si>
    <t xml:space="preserve">PRECIO UNITARIO </t>
  </si>
  <si>
    <t>HERRERA JUAN</t>
  </si>
  <si>
    <t>EFECTIVO</t>
  </si>
  <si>
    <t>CARTOCOR S.A.</t>
  </si>
  <si>
    <t>TRANSFERENCIA BCO MACRO</t>
  </si>
  <si>
    <t xml:space="preserve">DEBE </t>
  </si>
  <si>
    <t>HABER</t>
  </si>
  <si>
    <t>IVA%</t>
  </si>
  <si>
    <t>IVA</t>
  </si>
  <si>
    <t>OT. IMP</t>
  </si>
  <si>
    <t>TOTAL</t>
  </si>
  <si>
    <t>SALDO</t>
  </si>
  <si>
    <t>Como se puede ver estos datos van a afectra otras SOLAPAS por Ejemplo:</t>
  </si>
  <si>
    <t>INVENTARIO van a salir 2 unidades y van a ingresar 1000 unidades del mismo producto</t>
  </si>
  <si>
    <t xml:space="preserve">UNIDADES ENTREGADAS AL CLIENTE </t>
  </si>
  <si>
    <r>
      <t xml:space="preserve">CLIENTES - CONTROL DE STOCK en el cliente HERRERA JUAN En el ITEM </t>
    </r>
    <r>
      <rPr>
        <sz val="11"/>
        <color rgb="FF7030A0"/>
        <rFont val="Calibri"/>
        <family val="2"/>
        <scheme val="minor"/>
      </rPr>
      <t xml:space="preserve">UNIDADES ENTREGADAS AL CLIENTE </t>
    </r>
    <r>
      <rPr>
        <sz val="11"/>
        <rFont val="Calibri"/>
        <family val="2"/>
        <scheme val="minor"/>
      </rPr>
      <t xml:space="preserve">ES AL SOLO EFECTO DEL CONTROL DE STOCK DEL CLIENTE Y DEL INVENTARIO GENERAL Es decir a este cliente se le entrego 5 cajas vacias y entrego 2 llenas por ende tiene en su poder 3 cajas en y en el INVENTARIO GENERAL DE LOS PRODUCTOS DONDE ENTRARON </t>
    </r>
    <r>
      <rPr>
        <sz val="11"/>
        <color rgb="FFFF0000"/>
        <rFont val="Calibri"/>
        <family val="2"/>
        <scheme val="minor"/>
      </rPr>
      <t>1000 CAJAS VAN A QUEDAR 995 porque las cajas retiradas al cliente no entran al stock salvo que alguna de ellas se pueda recuperara y entra como caja recuperadas</t>
    </r>
  </si>
  <si>
    <t>COMPRA 1000 DE CAJA BOX CONVENCIONAL 5kg</t>
  </si>
  <si>
    <t>Para todo ello debemos entender que necesitamos afectar un mismo producto ingresado en el STOCK con distintos nombres que pueden tener para la entrega a los clientes y para la venta para ver el ejemplo ir a la solapa inferior INVENTARIO.</t>
  </si>
  <si>
    <t>INVENTARIO</t>
  </si>
  <si>
    <t>ID</t>
  </si>
  <si>
    <t>TIPO</t>
  </si>
  <si>
    <t>CONCEPTO</t>
  </si>
  <si>
    <t xml:space="preserve">ENTRADA </t>
  </si>
  <si>
    <t>SALIDA</t>
  </si>
  <si>
    <t>STOCK</t>
  </si>
  <si>
    <t>NO SE PARA QUE ES BIEN ESTE ITEM</t>
  </si>
  <si>
    <t>CLIENTE / PROVEEDOR,</t>
  </si>
  <si>
    <t xml:space="preserve">RECUPERO </t>
  </si>
  <si>
    <t xml:space="preserve">CAJA BOX CONVENCIONAL 5KG </t>
  </si>
  <si>
    <t>CAJA BOX CONVENCIONAL 5kg</t>
  </si>
  <si>
    <t>ROJAS Ricardo</t>
  </si>
  <si>
    <t xml:space="preserve">NUMERO DE CLIENTE QUE ES UN NUMERO PARA STOCK </t>
  </si>
  <si>
    <t xml:space="preserve">NOS SIRVE A NOSOTROS PARA TENER UN CONTROL DE CANTIDAD DE CLIENTES PARA ELLO ES NECESARIO PODER PODER TENER UNA STOCK DE CLIENTES Y QUE DESCUENTE LOS NUMEROS  DE CLIENTES INACTIVOS ES DECIR QUE NECESITAMOS PODER PONER AL CLIENTE COMO INACTIVO PARA QUE NO TOME EN CUENTAY NO LO CONTABILICE </t>
  </si>
  <si>
    <t>En este ítem necesitamos poder desplegar las opciones por lupa preestablecidas por ejemplo que diga caja chica, caja convencional, caja grande, y agregar a necesidad etc. e incluso poder agregar algo que no este y que solo sea circunstancial si es necesario, también el concepto nos debe determinar el precio unitario si ponemos un concepto predeterminado).</t>
  </si>
  <si>
    <t>También tener en cuenta que en el INVENTARIO donde ingresaron 1000 cajas de 5kg compradas a CARTOCOR S.A. que en dicho stock vayan disminuyendo con las cajas entregadas a los clientes y no con las ventas, es más necesitaríamos dos stock uno de INVENTARIO que se afectara con las cajas entregadas a los clientes. Y otro distinto donde solo se calculara las cajas vendidas (las recibidas por nosotros del cliente).</t>
  </si>
  <si>
    <t>CUANTOS INGRESOS NUEVOS HUBO AL MES</t>
  </si>
  <si>
    <t>SOLAPA CAJA / BANCARIA</t>
  </si>
  <si>
    <t xml:space="preserve">LO QUE NECECITAMOS ACA ES LO SIGUIENTE ES HACER TODO EL CONTROL REFERENTE AL INGRESO Y EGRESO BANCARIO SEA DE CLIENTES PROVEEDORES O LO QUE SEA MANEJADO DESDE BANCOS </t>
  </si>
  <si>
    <t xml:space="preserve">NECESITAMOS QUE TODO LO INGRESADO EN CAJA O CAJA BANCARIA SE REFLEJE EN EL INVENTARIO </t>
  </si>
  <si>
    <t>TRANSFERENCIA</t>
  </si>
  <si>
    <t xml:space="preserve">ABONADO </t>
  </si>
  <si>
    <t>ADEUDA</t>
  </si>
  <si>
    <t xml:space="preserve">ABONO </t>
  </si>
  <si>
    <t>Y ademas hay más de una UNIDAD o VEHÍCULO</t>
  </si>
  <si>
    <t xml:space="preserve">POR ENDE POR EJEMPLO PODEMOS TENER </t>
  </si>
  <si>
    <t>UNIDAD 1</t>
  </si>
  <si>
    <t>UNIDAD 2</t>
  </si>
  <si>
    <t>UNIDAD 3</t>
  </si>
  <si>
    <t xml:space="preserve">QUE SON LOS VEHICULOS </t>
  </si>
  <si>
    <t xml:space="preserve">ES DECIR LA UNIDAD UNO PUEDE TERER RECORRIDOS </t>
  </si>
  <si>
    <t xml:space="preserve">Y LAS OTRAS UNIDADES TAMBIEN O TRABAJAR ALGUNOS DIAS SI Y OTROS NO PERO EN EL SUPUESTO DE QUE TODAS LAS UNIDADES TRABAJEN TODOS LOS DÍAS </t>
  </si>
  <si>
    <t>LA UNIDAD 1 HACE</t>
  </si>
  <si>
    <t>Bueno continuando se establece el día con el cliente y se pasa por ejemplo si es de Lanus y queda cómodo dentro de los recorridos de la UNIDAD 1 especificamente el 3ª JUEVES que se hace lanus se lo pone ahí y con un numero de recorrido que es con que número toca hacer ese cliente es decir si le asignamos en el recorrido el número 15 es porque primero hay que hacer otros 14 a clientes antes y cuya secuencia de recorrido nos va acercando a la dirección de nuestro cliente número 15, es preciso aclarar que un mismo cliente se lo puede hacer más de una vez al mes) y que puede ser incluso en otras UNIDADES por ejemplo que se haga tambien el 2º MARTES DE LA UNIDAD 3 y con el número de recorrido 7</t>
  </si>
  <si>
    <t xml:space="preserve">ENERO </t>
  </si>
  <si>
    <t>FEBRERO</t>
  </si>
  <si>
    <t>MARZO</t>
  </si>
  <si>
    <t xml:space="preserve">ABRIL </t>
  </si>
  <si>
    <t xml:space="preserve">MAYO </t>
  </si>
  <si>
    <t xml:space="preserve">JUNIO </t>
  </si>
  <si>
    <t xml:space="preserve">JULIO </t>
  </si>
  <si>
    <t xml:space="preserve">AGOSTO </t>
  </si>
  <si>
    <t>SEPTIEMBRE</t>
  </si>
  <si>
    <t>OCTUBRE</t>
  </si>
  <si>
    <t>NOVIEMBRE</t>
  </si>
  <si>
    <t>DICIEMBRE</t>
  </si>
  <si>
    <t xml:space="preserve">TOTAL </t>
  </si>
  <si>
    <t xml:space="preserve">UNIDAD </t>
  </si>
  <si>
    <t xml:space="preserve">RECORRIDO </t>
  </si>
  <si>
    <t>TERCER</t>
  </si>
  <si>
    <t>JUEVES</t>
  </si>
  <si>
    <t>DIRECCION DE RECOLECCION: 1 DE MAYO 2015 / LANUS / PCIA DE BS.AS.</t>
  </si>
  <si>
    <t>RODRIGUEZ Maria Lorena / MAYO 2024 / Odontologa / Anatole France 1753 Lanus Este / 1536167964 / 27-31601202-2 / Monotributista / Lunes 9.00 a 18.00hs   Viernes 13.00 a 18.00hs / 27316012022</t>
  </si>
  <si>
    <t>PRECIO UNITARIO</t>
  </si>
  <si>
    <t>SUBTOTAL</t>
  </si>
  <si>
    <t xml:space="preserve">EFECTIVO </t>
  </si>
  <si>
    <t>CAJA CONVENCIONAL 5 KG UNIDADES</t>
  </si>
  <si>
    <t xml:space="preserve">PRODUCTOS ENTREGADOS AL CLIENTE </t>
  </si>
  <si>
    <t xml:space="preserve">PRODUCTOS RETIRADAS AL CLIENTE </t>
  </si>
  <si>
    <t>CAJA CONVENCIONAL 5 KG ENTREGADAS AL CLIENTE UNIDADES</t>
  </si>
  <si>
    <t>CAJA GRANDE 10 KG UNIDADES</t>
  </si>
  <si>
    <t>CAJA GRANDE 10 KG ENTREGADAS AL CLIENTE UNIDADES</t>
  </si>
  <si>
    <t xml:space="preserve">ETC </t>
  </si>
  <si>
    <t>ETC</t>
  </si>
  <si>
    <t>DESC CHICO 1,4 L</t>
  </si>
  <si>
    <t>DESC MEDIANO 2 L</t>
  </si>
  <si>
    <t>ABONO EFECTIVO</t>
  </si>
  <si>
    <t>ABONO TRANSF</t>
  </si>
  <si>
    <t xml:space="preserve">FECHA DE TRANSFERENCIA </t>
  </si>
  <si>
    <t>DEBE</t>
  </si>
  <si>
    <t>FECHA DE VISITA</t>
  </si>
  <si>
    <t>ESTE TOTAL ES EL QUE ME TIENE QUE DESCONTAR DEL STOCK FINAL DE ESTE PRODUCTO</t>
  </si>
  <si>
    <t>DE ESTE SE DEBE SACAR UN STOCK DE ESTE PRODUCTO QUE SOLO DEBE CONTAR LOS PRODUCTO RETIRADOS A LOS CLIENTES PERO NO AFECTAR EL STOCK GENERAL</t>
  </si>
  <si>
    <t>SALDO AÑO ANTERIOR 2025</t>
  </si>
  <si>
    <t>AÑO 2026</t>
  </si>
  <si>
    <t>como pueden ver en el mes de febrero no entrego ninguna caja se le pone una caja en rojo para diferenciarlo y como no entrego caja de ningun tipo y se le cobra igual por ende cuando tire 2 o más cajas se tiene descontar esa que tiene a favor y cobrar el resto y quedar en 0 en cuanto cajas a favor</t>
  </si>
  <si>
    <t>observaciones</t>
  </si>
  <si>
    <t>la caja estaba vacia pidio que no se retire</t>
  </si>
  <si>
    <t xml:space="preserve">Va a tranferir en 15 días </t>
  </si>
  <si>
    <t xml:space="preserve">Aca ponemos todo lo que quesea necestario para clarificar alguna situación especial que se debe recordar </t>
  </si>
  <si>
    <t xml:space="preserve">fecha en que se hizo la transferencia </t>
  </si>
  <si>
    <t xml:space="preserve">EN OTRO ORDEN DE IDEAS NECESITAMOS QUE DESDE EL LIBRO DIARIO </t>
  </si>
  <si>
    <t>CUANDO PORNGAMOS QUE TAL CLIENTE NO ENTREGO CAJA UN MES  QUE APAREZCA EN CLIENTES UNA FILA QUE DIGA QUE CON FECHA ………… TIENE 1 CAJA A FAVOR Y QUE CUANDO AL MES SIGUIENTE ENTREGUE DOS CAJAS UNA ES LA  DEL MES CORRESPONDIENTE Y LA OTRA SE IMPUTE AL MES QUE NO ENTREGO POR ENDE TIENE 0 CAJAS A FAVOR AL ENTRAR AL CLIENTE Y VER SU STOCK</t>
  </si>
  <si>
    <t xml:space="preserve">Cuando se pone cajas entregadas al cliente que figure cuantas cajas se le entrego y hacer un stock especifico del cliente con cantidad de cajas entregadas al cliente de las cuales se descontaran las cajas retiradas esto porque te lo pedimosuando se va a un cliente no siempre se le deja una caja muchas veces el cliente pide dos o más cajas para el servicio y como esas cajas no se cobran sino solo las retiradas muchos no le dan importancia y las tiran o la usan para otra cosa por ello debemos tener un stock de las cajas entregadas y que se resten las retiradas para saber cuantas cajas quedan en su poder y que no tengan una acumulación de las cajas que es una perdida significativa para nosotros </t>
  </si>
  <si>
    <t xml:space="preserve">CONTROL DE PAGOS Y STOCK DE PRODUCTOS DEL CLIENTE </t>
  </si>
  <si>
    <t>ESTO DEBE CONSTAR EN CADA CLIENTE QUE DIA DE RECORRIDO TIENE, QUE UNIDAD LO HACE ESE DIA Y EL NUMERO DE POSICIÓN QUE TENDRA DENTRO DEL RECORRIDO</t>
  </si>
  <si>
    <t>PRODUCTOS En este ítem necesitamos poder desplegar las opciones por lupa preestablecidas por ejemplo que diga caja chica, caja convencional, caja grande, y agregar a necesidad etc. que van a tener que estar relacionados con los productos de inventario para el descuento del stock e incluso poder agregar algo que no este y que solo sea circunstancial si es necesario.</t>
  </si>
  <si>
    <t>En este ítem necesitamos poder desplegar las opciones por lupa preestablecidas por ejemplo que diga caja chica, caja convencional, caja grande, etc que deberan coincidir con los nombre preestablecidos en el inventario y agregar a necesidad etc. e incluso poder agregar algo que no este y que solo sea circunstancial si es necesario.</t>
  </si>
  <si>
    <t xml:space="preserve">También tener en cuenta que en el INVENTARIO donde ingresaron 1000 cajas de 5kg compradas a CARTOCOR S.A. no se va a ver afectado por las ventas que figuren acá porque las cajas entregadas a los clientes que no son facturadas acá son las que descuentan del inventario </t>
  </si>
  <si>
    <t>En este ítem necesitamos poder desplegar las opciones preestablecidas tomando de los clientes y/o proveedores ingresados por ejemplo que diga HERRERA Juan, BENITEZ Ricardo (TODOS ELLOS CLIENTES), CARTOCOR S.A.(EJEMPLO DE PROVEEDOR), etc. es decir que por ejemplo pongamos la h y aparezcan todos los herrera y a medida que pongamos más datos acote la búsqueda también nos facilitaría mucho si podemos poner como búsqueda por ejemplo RECORRIDO 3ºJUEVES y despliegue los de dicho día, también al poner los caracteres que vayan identificando también aparezcan los de los proveedores dado a que ingresaremos las ingresos y egresos monetarios abonados en efectivo y en caso de ser necesario poder agregar otro concepto ocasional y que no sea necesario agregarlo como predeterminado.</t>
  </si>
  <si>
    <t>PRECIO UNITARIO En este ítem necesitamos poder desplegar las opciones por lupa preestablecidas que tengan los valores preestablecidos de los productos por ejemplo que diga caja chica $500, caja convencional $1000, caja grande $2000, y agregar a necesidad otro si es necesario si por algún motivo especial se necesita poner solo para una ocación especial sin necesidad de agregarlo etc. es decir poder agregar algo que no este y que solo sea circunstancial si es necesario.</t>
  </si>
  <si>
    <t>En este ítem necesitamos poder desplegar las opciones por lupa preestablecidas que tengan los valores preestablecidos de los productos por ejemplo que diga caja chica $500, caja convencional $1000, caja grande $2000, y agregar a necesidad otro no precargado</t>
  </si>
  <si>
    <t xml:space="preserve"> </t>
  </si>
  <si>
    <t>Serían las cajas que se descontarian automaticamente de las entregadas a los clientes que figuran en la solapa CLIENTES</t>
  </si>
  <si>
    <t xml:space="preserve">Serían las cajas que se recuperen puede ser en el día al mes o cuando sea </t>
  </si>
  <si>
    <t xml:space="preserve">SERÍA BÁRBARO QUE PODAMOS PONER ENTRE FECHA QUE NOS TIRE EL TOTAL DE CAJAS ENTREGAS A LOS CLIENTES O LAS RECUPERADAS O LAS QUE INGRESEN POR COMPRA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</si>
</sst>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70C0"/>
      <name val="Calibri"/>
      <family val="2"/>
      <scheme val="minor"/>
    </font>
    <font>
      <sz val="11"/>
      <name val="Calibri"/>
      <family val="2"/>
      <scheme val="minor"/>
    </font>
    <font>
      <sz val="11"/>
      <color theme="9" tint="-0.499984740745262"/>
      <name val="Calibri"/>
      <family val="2"/>
      <scheme val="minor"/>
    </font>
    <font>
      <sz val="11"/>
      <color rgb="FF7030A0"/>
      <name val="Calibri"/>
      <family val="2"/>
      <scheme val="minor"/>
    </font>
    <font>
      <sz val="11"/>
      <color rgb="FFFF0000"/>
      <name val="Calibri"/>
      <family val="2"/>
      <scheme val="minor"/>
    </font>
    <font>
      <b/>
      <sz val="10"/>
      <color theme="0"/>
      <name val="Bookman Old Style"/>
      <family val="1"/>
    </font>
    <font>
      <sz val="10"/>
      <name val="Calibri Light"/>
      <family val="1"/>
      <scheme val="major"/>
    </font>
    <font>
      <sz val="8"/>
      <name val="Calibri Light"/>
      <family val="1"/>
      <scheme val="major"/>
    </font>
    <font>
      <sz val="10"/>
      <color theme="1"/>
      <name val="Calibri"/>
      <family val="2"/>
      <scheme val="minor"/>
    </font>
    <font>
      <sz val="10"/>
      <color theme="1"/>
      <name val="Bookman Old Style"/>
      <family val="1"/>
    </font>
    <font>
      <sz val="10"/>
      <color rgb="FF000000"/>
      <name val="Calibri"/>
      <family val="2"/>
      <scheme val="minor"/>
    </font>
    <font>
      <sz val="10"/>
      <name val="Bookman Old Style"/>
      <family val="1"/>
    </font>
    <font>
      <sz val="10"/>
      <color rgb="FFFF0000"/>
      <name val="Calibri Light"/>
      <family val="1"/>
      <scheme val="major"/>
    </font>
    <font>
      <sz val="8"/>
      <color theme="1"/>
      <name val="Calibri"/>
      <family val="2"/>
      <scheme val="minor"/>
    </font>
    <font>
      <sz val="8"/>
      <color theme="5" tint="-0.499984740745262"/>
      <name val="Calibri Light"/>
      <family val="1"/>
      <scheme val="major"/>
    </font>
    <font>
      <sz val="11"/>
      <color theme="5" tint="-0.499984740745262"/>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rgb="FF92D050"/>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rgb="FFFF0000"/>
        <bgColor indexed="64"/>
      </patternFill>
    </fill>
    <fill>
      <patternFill patternType="solid">
        <fgColor theme="1"/>
        <bgColor theme="1"/>
      </patternFill>
    </fill>
    <fill>
      <patternFill patternType="solid">
        <fgColor rgb="FFFFFF00"/>
        <bgColor indexed="64"/>
      </patternFill>
    </fill>
    <fill>
      <patternFill patternType="solid">
        <fgColor rgb="FFFFFFFF"/>
        <bgColor rgb="FF000000"/>
      </patternFill>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0" fillId="0" borderId="0" xfId="0" applyAlignment="1">
      <alignment vertical="center"/>
    </xf>
    <xf numFmtId="0" fontId="0" fillId="2" borderId="0" xfId="0" applyFill="1"/>
    <xf numFmtId="0" fontId="1" fillId="0" borderId="0" xfId="0" applyFont="1"/>
    <xf numFmtId="0" fontId="2" fillId="3" borderId="0" xfId="0" applyFont="1" applyFill="1"/>
    <xf numFmtId="14" fontId="0" fillId="0" borderId="0" xfId="0" applyNumberFormat="1"/>
    <xf numFmtId="0" fontId="3" fillId="0" borderId="0" xfId="0" applyFont="1"/>
    <xf numFmtId="0" fontId="0" fillId="0" borderId="1" xfId="0" applyBorder="1"/>
    <xf numFmtId="0" fontId="0" fillId="0" borderId="2" xfId="0" applyBorder="1"/>
    <xf numFmtId="0" fontId="0" fillId="0" borderId="3" xfId="0" applyBorder="1"/>
    <xf numFmtId="0" fontId="0" fillId="4" borderId="0" xfId="0" applyFill="1"/>
    <xf numFmtId="0" fontId="0" fillId="0" borderId="0" xfId="0" applyAlignment="1">
      <alignment wrapText="1"/>
    </xf>
    <xf numFmtId="0" fontId="0" fillId="5" borderId="0" xfId="0" applyFill="1"/>
    <xf numFmtId="0" fontId="4" fillId="0" borderId="0" xfId="0" applyFont="1" applyAlignment="1">
      <alignment wrapText="1"/>
    </xf>
    <xf numFmtId="0" fontId="0" fillId="6" borderId="0" xfId="0" applyFill="1"/>
    <xf numFmtId="0" fontId="5" fillId="0" borderId="0" xfId="0" applyFont="1"/>
    <xf numFmtId="0" fontId="2" fillId="0" borderId="0" xfId="0" applyFont="1"/>
    <xf numFmtId="0" fontId="6" fillId="7" borderId="1" xfId="0" applyFont="1" applyFill="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1" fontId="8" fillId="0" borderId="1" xfId="0" applyNumberFormat="1" applyFont="1" applyBorder="1" applyAlignment="1">
      <alignment vertical="center" wrapText="1"/>
    </xf>
    <xf numFmtId="0" fontId="8" fillId="0" borderId="4" xfId="0" applyFont="1" applyBorder="1" applyAlignment="1">
      <alignment vertical="center" wrapText="1"/>
    </xf>
    <xf numFmtId="0" fontId="10" fillId="8" borderId="1" xfId="0" applyFont="1" applyFill="1" applyBorder="1" applyAlignment="1">
      <alignment vertical="center" wrapText="1"/>
    </xf>
    <xf numFmtId="0" fontId="11" fillId="9" borderId="2" xfId="0" applyFont="1" applyFill="1" applyBorder="1" applyAlignment="1">
      <alignment vertical="center" wrapText="1"/>
    </xf>
    <xf numFmtId="1" fontId="12" fillId="3" borderId="1" xfId="0" applyNumberFormat="1" applyFont="1" applyFill="1" applyBorder="1" applyAlignment="1">
      <alignment vertical="center" wrapText="1"/>
    </xf>
    <xf numFmtId="14" fontId="7" fillId="0" borderId="1" xfId="0" applyNumberFormat="1" applyFont="1" applyBorder="1" applyAlignment="1">
      <alignment vertical="center" wrapText="1"/>
    </xf>
    <xf numFmtId="1" fontId="7" fillId="0" borderId="1" xfId="0" applyNumberFormat="1" applyFont="1" applyBorder="1" applyAlignment="1">
      <alignment vertical="center" wrapText="1"/>
    </xf>
    <xf numFmtId="0" fontId="0" fillId="0" borderId="4" xfId="0" applyBorder="1" applyAlignment="1">
      <alignment wrapText="1"/>
    </xf>
    <xf numFmtId="0" fontId="11" fillId="0" borderId="2" xfId="0" applyFont="1" applyBorder="1" applyAlignment="1">
      <alignment vertical="center" wrapText="1"/>
    </xf>
    <xf numFmtId="0" fontId="10" fillId="3" borderId="1" xfId="0" applyFont="1" applyFill="1" applyBorder="1" applyAlignment="1">
      <alignment vertical="center" wrapText="1"/>
    </xf>
    <xf numFmtId="0" fontId="9" fillId="0" borderId="4" xfId="0" applyFont="1" applyBorder="1" applyAlignment="1">
      <alignment vertical="center" wrapText="1"/>
    </xf>
    <xf numFmtId="0" fontId="13" fillId="0" borderId="1" xfId="0" applyFont="1" applyBorder="1" applyAlignment="1">
      <alignment vertical="center" wrapText="1"/>
    </xf>
    <xf numFmtId="0" fontId="2" fillId="0" borderId="1" xfId="0" applyFont="1" applyBorder="1"/>
    <xf numFmtId="0" fontId="2" fillId="0" borderId="2" xfId="0" applyFont="1" applyBorder="1"/>
    <xf numFmtId="0" fontId="2" fillId="0" borderId="5" xfId="0" applyFont="1" applyBorder="1"/>
    <xf numFmtId="0" fontId="2" fillId="0" borderId="4" xfId="0" applyFont="1" applyBorder="1"/>
    <xf numFmtId="0" fontId="2" fillId="0" borderId="0" xfId="0" applyFont="1" applyBorder="1"/>
    <xf numFmtId="0" fontId="2" fillId="0" borderId="3" xfId="0" applyFont="1" applyBorder="1"/>
    <xf numFmtId="0" fontId="7" fillId="0" borderId="1" xfId="0" applyNumberFormat="1" applyFont="1" applyBorder="1" applyAlignment="1">
      <alignment vertical="center" wrapText="1"/>
    </xf>
    <xf numFmtId="0" fontId="3" fillId="0" borderId="1" xfId="0" applyFont="1" applyBorder="1"/>
    <xf numFmtId="0" fontId="3" fillId="0" borderId="3" xfId="0" applyFont="1" applyBorder="1"/>
    <xf numFmtId="0" fontId="3" fillId="0" borderId="2" xfId="0" applyFont="1" applyBorder="1"/>
    <xf numFmtId="14" fontId="9" fillId="0" borderId="4" xfId="0" applyNumberFormat="1" applyFont="1" applyBorder="1" applyAlignment="1">
      <alignment vertical="center" wrapText="1"/>
    </xf>
    <xf numFmtId="0" fontId="5" fillId="0" borderId="4" xfId="0" applyFont="1" applyBorder="1" applyAlignment="1">
      <alignment wrapText="1"/>
    </xf>
    <xf numFmtId="0" fontId="14" fillId="0" borderId="4" xfId="0" applyFont="1" applyBorder="1" applyAlignment="1">
      <alignment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5" fillId="0" borderId="1" xfId="0" applyFont="1" applyBorder="1" applyAlignment="1">
      <alignment vertical="center" wrapText="1"/>
    </xf>
    <xf numFmtId="0" fontId="16" fillId="0" borderId="0" xfId="0" applyFont="1"/>
    <xf numFmtId="0" fontId="0" fillId="8" borderId="0" xfId="0" applyFill="1"/>
    <xf numFmtId="0" fontId="0" fillId="8" borderId="0" xfId="0" applyFill="1" applyAlignment="1">
      <alignment vertical="center"/>
    </xf>
    <xf numFmtId="0" fontId="0" fillId="2"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1520E-FA67-4445-874D-3371A91688E1}">
  <dimension ref="A1:Y104"/>
  <sheetViews>
    <sheetView tabSelected="1" topLeftCell="A50" workbookViewId="0">
      <selection activeCell="A53" sqref="A53"/>
    </sheetView>
  </sheetViews>
  <sheetFormatPr baseColWidth="10" defaultRowHeight="15" x14ac:dyDescent="0.25"/>
  <cols>
    <col min="1" max="1" width="16.85546875" customWidth="1"/>
    <col min="2" max="2" width="9" customWidth="1"/>
    <col min="5" max="5" width="7" customWidth="1"/>
    <col min="6" max="6" width="5" customWidth="1"/>
    <col min="7" max="7" width="6.140625" customWidth="1"/>
    <col min="8" max="8" width="11.7109375" customWidth="1"/>
    <col min="9" max="9" width="10.5703125" customWidth="1"/>
    <col min="10" max="10" width="7.5703125" customWidth="1"/>
    <col min="11" max="11" width="10.85546875" customWidth="1"/>
    <col min="12" max="12" width="7" customWidth="1"/>
    <col min="13" max="13" width="7.7109375" customWidth="1"/>
    <col min="14" max="14" width="11" customWidth="1"/>
    <col min="15" max="15" width="7.42578125" customWidth="1"/>
    <col min="16" max="16" width="7.7109375" customWidth="1"/>
    <col min="17" max="17" width="10.140625" customWidth="1"/>
    <col min="18" max="18" width="7" customWidth="1"/>
    <col min="19" max="19" width="7.28515625" customWidth="1"/>
    <col min="20" max="20" width="6.140625" customWidth="1"/>
    <col min="21" max="21" width="7.140625" customWidth="1"/>
    <col min="22" max="22" width="6.42578125" customWidth="1"/>
    <col min="23" max="23" width="11.140625" customWidth="1"/>
    <col min="24" max="24" width="7" customWidth="1"/>
    <col min="25" max="25" width="17.28515625" customWidth="1"/>
  </cols>
  <sheetData>
    <row r="1" spans="1:12" x14ac:dyDescent="0.25">
      <c r="A1" t="s">
        <v>0</v>
      </c>
    </row>
    <row r="2" spans="1:12" x14ac:dyDescent="0.25">
      <c r="A2" t="s">
        <v>1</v>
      </c>
    </row>
    <row r="4" spans="1:12" x14ac:dyDescent="0.25">
      <c r="A4" t="s">
        <v>75</v>
      </c>
    </row>
    <row r="6" spans="1:12" x14ac:dyDescent="0.25">
      <c r="A6" t="s">
        <v>76</v>
      </c>
    </row>
    <row r="8" spans="1:12" x14ac:dyDescent="0.25">
      <c r="A8" s="2" t="s">
        <v>3</v>
      </c>
      <c r="B8" s="2"/>
      <c r="C8" s="2"/>
      <c r="D8" s="2"/>
      <c r="E8" s="2"/>
      <c r="F8" s="2"/>
      <c r="G8" s="2"/>
      <c r="H8" s="2"/>
      <c r="I8" s="2"/>
      <c r="J8" s="2"/>
    </row>
    <row r="10" spans="1:12" x14ac:dyDescent="0.25">
      <c r="A10" s="3" t="s">
        <v>4</v>
      </c>
      <c r="B10" s="3"/>
      <c r="C10" s="3"/>
      <c r="D10" s="3"/>
      <c r="E10" s="3"/>
      <c r="F10" s="3"/>
      <c r="G10" s="3"/>
      <c r="H10" s="3"/>
      <c r="I10" s="3"/>
      <c r="J10" s="3"/>
      <c r="K10" s="3"/>
      <c r="L10" s="3"/>
    </row>
    <row r="11" spans="1:12" x14ac:dyDescent="0.25">
      <c r="A11" s="3" t="s">
        <v>5</v>
      </c>
      <c r="B11" s="3"/>
      <c r="C11" s="3"/>
      <c r="D11" s="3"/>
      <c r="E11" s="3"/>
      <c r="F11" s="3"/>
      <c r="G11" s="3"/>
      <c r="H11" s="3"/>
      <c r="I11" s="3"/>
      <c r="J11" s="3"/>
      <c r="K11" s="3"/>
      <c r="L11" s="3"/>
    </row>
    <row r="12" spans="1:12" x14ac:dyDescent="0.25">
      <c r="A12" s="3" t="s">
        <v>10</v>
      </c>
      <c r="B12" s="3"/>
      <c r="C12" s="3"/>
      <c r="D12" s="3"/>
      <c r="E12" s="3"/>
      <c r="F12" s="3"/>
      <c r="G12" s="3"/>
      <c r="H12" s="3"/>
      <c r="I12" s="3"/>
      <c r="J12" s="3"/>
      <c r="K12" s="3"/>
      <c r="L12" s="3"/>
    </row>
    <row r="13" spans="1:12" x14ac:dyDescent="0.25">
      <c r="A13" s="3" t="s">
        <v>6</v>
      </c>
      <c r="B13" s="3"/>
      <c r="C13" s="3"/>
      <c r="D13" s="3"/>
      <c r="E13" s="3"/>
      <c r="F13" s="3"/>
      <c r="G13" s="3"/>
      <c r="H13" s="3"/>
      <c r="I13" s="3"/>
      <c r="J13" s="3"/>
      <c r="K13" s="3"/>
      <c r="L13" s="3"/>
    </row>
    <row r="14" spans="1:12" x14ac:dyDescent="0.25">
      <c r="A14" s="3" t="s">
        <v>7</v>
      </c>
      <c r="B14" s="3"/>
      <c r="C14" s="3"/>
      <c r="D14" s="3"/>
      <c r="E14" s="3"/>
      <c r="F14" s="3"/>
      <c r="G14" s="3"/>
      <c r="H14" s="3"/>
      <c r="I14" s="3"/>
      <c r="J14" s="3"/>
      <c r="K14" s="3"/>
      <c r="L14" s="3"/>
    </row>
    <row r="15" spans="1:12" x14ac:dyDescent="0.25">
      <c r="A15" s="3" t="s">
        <v>79</v>
      </c>
      <c r="B15" s="3"/>
      <c r="C15" s="3"/>
      <c r="D15" s="3"/>
      <c r="E15" s="3"/>
      <c r="F15" s="3"/>
      <c r="G15" s="3"/>
      <c r="H15" s="3"/>
      <c r="I15" s="3"/>
      <c r="J15" s="3"/>
      <c r="K15" s="3"/>
      <c r="L15" s="3"/>
    </row>
    <row r="16" spans="1:12" x14ac:dyDescent="0.25">
      <c r="A16" s="3"/>
      <c r="B16" s="3"/>
      <c r="C16" s="3"/>
      <c r="D16" s="3"/>
      <c r="E16" s="3"/>
      <c r="F16" s="3"/>
      <c r="G16" s="3"/>
      <c r="H16" s="3"/>
      <c r="I16" s="3"/>
      <c r="J16" s="3"/>
      <c r="K16" s="3"/>
      <c r="L16" s="3"/>
    </row>
    <row r="17" spans="1:13" x14ac:dyDescent="0.25">
      <c r="A17" s="3"/>
      <c r="B17" s="3"/>
      <c r="C17" s="3"/>
      <c r="D17" s="3"/>
      <c r="E17" s="3"/>
      <c r="F17" s="3"/>
      <c r="G17" s="3"/>
      <c r="H17" s="3"/>
      <c r="I17" s="3"/>
      <c r="J17" s="3"/>
      <c r="K17" s="3"/>
      <c r="L17" s="3"/>
    </row>
    <row r="18" spans="1:13" x14ac:dyDescent="0.25">
      <c r="A18" s="3"/>
      <c r="B18" s="3"/>
      <c r="C18" s="3"/>
      <c r="D18" s="3"/>
      <c r="E18" s="3"/>
      <c r="F18" s="3"/>
      <c r="G18" s="3"/>
      <c r="H18" s="3"/>
      <c r="I18" s="3"/>
      <c r="J18" s="3"/>
      <c r="K18" s="3"/>
      <c r="L18" s="3"/>
    </row>
    <row r="19" spans="1:13" x14ac:dyDescent="0.25">
      <c r="A19" s="1" t="s">
        <v>144</v>
      </c>
    </row>
    <row r="22" spans="1:13" x14ac:dyDescent="0.25">
      <c r="A22" t="s">
        <v>2</v>
      </c>
    </row>
    <row r="25" spans="1:13" x14ac:dyDescent="0.25">
      <c r="A25" s="4" t="s">
        <v>8</v>
      </c>
      <c r="B25" s="4"/>
      <c r="C25" s="4"/>
      <c r="D25" s="4"/>
      <c r="E25" s="4"/>
      <c r="F25" s="4"/>
      <c r="G25" s="4"/>
      <c r="H25" s="4"/>
      <c r="I25" s="4"/>
      <c r="J25" s="4"/>
      <c r="K25" s="4"/>
      <c r="L25" s="4"/>
      <c r="M25" s="4"/>
    </row>
    <row r="27" spans="1:13" x14ac:dyDescent="0.25">
      <c r="A27" s="4" t="s">
        <v>9</v>
      </c>
      <c r="B27" s="4"/>
      <c r="C27" s="4"/>
      <c r="D27" s="4"/>
      <c r="E27" s="4"/>
      <c r="F27" s="4"/>
      <c r="G27" s="4"/>
      <c r="H27" s="6"/>
      <c r="I27" s="6"/>
      <c r="J27" s="6"/>
    </row>
    <row r="28" spans="1:13" x14ac:dyDescent="0.25">
      <c r="D28" s="6"/>
      <c r="E28" s="6"/>
      <c r="F28" s="6"/>
      <c r="G28" s="6"/>
      <c r="H28" s="6"/>
      <c r="I28" s="6"/>
      <c r="J28" s="6"/>
    </row>
    <row r="29" spans="1:13" x14ac:dyDescent="0.25">
      <c r="A29" s="16" t="s">
        <v>147</v>
      </c>
      <c r="B29" s="6"/>
      <c r="C29" s="6"/>
      <c r="D29" s="6"/>
      <c r="E29" s="6"/>
      <c r="F29" s="6"/>
      <c r="G29" s="6"/>
      <c r="H29" s="6"/>
      <c r="I29" s="6"/>
      <c r="J29" s="6"/>
    </row>
    <row r="30" spans="1:13" x14ac:dyDescent="0.25">
      <c r="A30" s="34" t="s">
        <v>110</v>
      </c>
      <c r="B30" s="35">
        <v>1</v>
      </c>
      <c r="C30" s="36"/>
      <c r="D30" s="36"/>
      <c r="E30" s="36"/>
      <c r="F30" s="36"/>
      <c r="G30" s="36"/>
      <c r="H30" s="16"/>
      <c r="I30" s="6"/>
      <c r="J30" s="6"/>
    </row>
    <row r="31" spans="1:13" x14ac:dyDescent="0.25">
      <c r="A31" s="32" t="s">
        <v>111</v>
      </c>
      <c r="B31" s="32" t="s">
        <v>112</v>
      </c>
      <c r="C31" s="37"/>
      <c r="D31" s="37"/>
      <c r="E31" s="37"/>
      <c r="F31" s="37"/>
      <c r="G31" s="37"/>
      <c r="H31" s="33" t="s">
        <v>113</v>
      </c>
      <c r="I31" s="6"/>
      <c r="J31" s="6"/>
    </row>
    <row r="32" spans="1:13" x14ac:dyDescent="0.25">
      <c r="A32" s="16" t="s">
        <v>137</v>
      </c>
      <c r="B32" s="6"/>
      <c r="C32" s="39" t="s">
        <v>120</v>
      </c>
      <c r="D32" s="40"/>
      <c r="E32" s="40"/>
      <c r="F32" s="40"/>
      <c r="G32" s="41"/>
      <c r="H32" s="6" t="s">
        <v>121</v>
      </c>
      <c r="I32" s="6"/>
      <c r="J32" s="6"/>
    </row>
    <row r="33" spans="1:25" s="11" customFormat="1" ht="86.25" customHeight="1" x14ac:dyDescent="0.25">
      <c r="A33" s="17" t="s">
        <v>114</v>
      </c>
      <c r="B33" s="18" t="s">
        <v>133</v>
      </c>
      <c r="C33" s="19" t="s">
        <v>122</v>
      </c>
      <c r="D33" s="19" t="s">
        <v>124</v>
      </c>
      <c r="E33" s="18" t="s">
        <v>125</v>
      </c>
      <c r="F33" s="18" t="s">
        <v>126</v>
      </c>
      <c r="G33" s="18" t="s">
        <v>126</v>
      </c>
      <c r="H33" s="19" t="s">
        <v>119</v>
      </c>
      <c r="I33" s="51" t="s">
        <v>116</v>
      </c>
      <c r="J33" s="19" t="s">
        <v>117</v>
      </c>
      <c r="K33" s="19" t="s">
        <v>123</v>
      </c>
      <c r="L33" s="51" t="s">
        <v>116</v>
      </c>
      <c r="M33" s="19" t="s">
        <v>117</v>
      </c>
      <c r="N33" s="19" t="s">
        <v>127</v>
      </c>
      <c r="O33" s="51" t="s">
        <v>116</v>
      </c>
      <c r="P33" s="19" t="s">
        <v>117</v>
      </c>
      <c r="Q33" s="19" t="s">
        <v>128</v>
      </c>
      <c r="R33" s="51" t="s">
        <v>116</v>
      </c>
      <c r="S33" s="19" t="s">
        <v>117</v>
      </c>
      <c r="T33" s="21" t="s">
        <v>132</v>
      </c>
      <c r="U33" s="21" t="s">
        <v>129</v>
      </c>
      <c r="V33" s="21" t="s">
        <v>130</v>
      </c>
      <c r="W33" s="44" t="s">
        <v>131</v>
      </c>
      <c r="X33" s="27" t="s">
        <v>54</v>
      </c>
      <c r="Y33" s="27" t="s">
        <v>139</v>
      </c>
    </row>
    <row r="34" spans="1:25" s="11" customFormat="1" ht="27.75" customHeight="1" x14ac:dyDescent="0.25">
      <c r="A34" s="22" t="s">
        <v>115</v>
      </c>
      <c r="B34" s="18"/>
      <c r="C34" s="38"/>
      <c r="D34" s="38"/>
      <c r="E34" s="38"/>
      <c r="F34" s="38"/>
      <c r="G34" s="38"/>
      <c r="H34" s="19"/>
      <c r="I34" s="19"/>
      <c r="J34" s="19"/>
      <c r="K34" s="20"/>
      <c r="L34" s="20"/>
      <c r="M34" s="19"/>
      <c r="N34" s="19"/>
      <c r="O34" s="19"/>
      <c r="P34" s="19"/>
      <c r="Q34" s="20"/>
      <c r="R34" s="20"/>
      <c r="S34" s="19"/>
      <c r="T34" s="21"/>
      <c r="U34" s="21"/>
      <c r="V34" s="27"/>
      <c r="W34" s="27"/>
      <c r="X34" s="27"/>
      <c r="Y34" s="27"/>
    </row>
    <row r="35" spans="1:25" s="11" customFormat="1" ht="27.75" customHeight="1" x14ac:dyDescent="0.25">
      <c r="A35" s="24" t="s">
        <v>136</v>
      </c>
      <c r="B35" s="25"/>
      <c r="C35" s="38"/>
      <c r="D35" s="38"/>
      <c r="E35" s="38"/>
      <c r="F35" s="38"/>
      <c r="G35" s="38"/>
      <c r="H35" s="18"/>
      <c r="I35" s="18"/>
      <c r="J35" s="18"/>
      <c r="K35" s="26"/>
      <c r="L35" s="26"/>
      <c r="M35" s="18"/>
      <c r="N35" s="18"/>
      <c r="O35" s="18"/>
      <c r="P35" s="18"/>
      <c r="Q35" s="26"/>
      <c r="R35" s="26"/>
      <c r="S35" s="18"/>
      <c r="T35" s="27"/>
      <c r="U35" s="27"/>
      <c r="V35" s="27"/>
      <c r="W35" s="27"/>
      <c r="X35" s="27">
        <v>0</v>
      </c>
      <c r="Y35" s="27"/>
    </row>
    <row r="36" spans="1:25" s="11" customFormat="1" ht="27.75" customHeight="1" x14ac:dyDescent="0.25">
      <c r="A36" s="29" t="s">
        <v>97</v>
      </c>
      <c r="B36" s="25">
        <v>46027</v>
      </c>
      <c r="C36" s="38">
        <v>5</v>
      </c>
      <c r="D36" s="38">
        <v>1</v>
      </c>
      <c r="E36" s="38"/>
      <c r="F36" s="38"/>
      <c r="G36" s="38"/>
      <c r="H36" s="18">
        <v>2</v>
      </c>
      <c r="I36" s="18">
        <v>1000</v>
      </c>
      <c r="J36" s="18">
        <v>2000</v>
      </c>
      <c r="K36" s="26">
        <v>1</v>
      </c>
      <c r="L36" s="26">
        <v>1500</v>
      </c>
      <c r="M36" s="18">
        <v>1500</v>
      </c>
      <c r="N36" s="18">
        <v>2</v>
      </c>
      <c r="O36" s="18">
        <v>200</v>
      </c>
      <c r="P36" s="18">
        <v>400</v>
      </c>
      <c r="Q36" s="26">
        <v>1</v>
      </c>
      <c r="R36" s="26">
        <v>300</v>
      </c>
      <c r="S36" s="18">
        <v>300</v>
      </c>
      <c r="T36" s="30">
        <v>-4200</v>
      </c>
      <c r="U36" s="30">
        <v>4200</v>
      </c>
      <c r="V36" s="30">
        <v>0</v>
      </c>
      <c r="W36" s="30"/>
      <c r="X36" s="27">
        <v>0</v>
      </c>
      <c r="Y36" s="27"/>
    </row>
    <row r="37" spans="1:25" s="11" customFormat="1" ht="49.5" customHeight="1" x14ac:dyDescent="0.25">
      <c r="A37" s="29" t="s">
        <v>98</v>
      </c>
      <c r="B37" s="25">
        <v>46055</v>
      </c>
      <c r="C37" s="38">
        <v>1</v>
      </c>
      <c r="D37" s="38">
        <v>1</v>
      </c>
      <c r="E37" s="38"/>
      <c r="F37" s="38"/>
      <c r="G37" s="38"/>
      <c r="H37" s="31">
        <v>1</v>
      </c>
      <c r="I37" s="18">
        <v>1000</v>
      </c>
      <c r="J37" s="18">
        <v>1000</v>
      </c>
      <c r="K37" s="26">
        <v>0</v>
      </c>
      <c r="L37" s="26">
        <v>0</v>
      </c>
      <c r="M37" s="18">
        <v>0</v>
      </c>
      <c r="N37" s="18">
        <v>1</v>
      </c>
      <c r="O37" s="18">
        <v>200</v>
      </c>
      <c r="P37" s="18">
        <v>200</v>
      </c>
      <c r="Q37" s="26">
        <v>1</v>
      </c>
      <c r="R37" s="26">
        <v>300</v>
      </c>
      <c r="S37" s="18">
        <v>300</v>
      </c>
      <c r="T37" s="30">
        <v>-1500</v>
      </c>
      <c r="U37" s="30">
        <v>0</v>
      </c>
      <c r="V37" s="30">
        <v>1500</v>
      </c>
      <c r="W37" s="42">
        <v>46056</v>
      </c>
      <c r="X37" s="27">
        <v>0</v>
      </c>
      <c r="Y37" s="27" t="s">
        <v>140</v>
      </c>
    </row>
    <row r="38" spans="1:25" s="11" customFormat="1" ht="27.75" customHeight="1" x14ac:dyDescent="0.25">
      <c r="A38" s="29" t="s">
        <v>99</v>
      </c>
      <c r="B38" s="25">
        <v>46083</v>
      </c>
      <c r="C38" s="38">
        <v>0</v>
      </c>
      <c r="D38" s="38">
        <v>2</v>
      </c>
      <c r="E38" s="38"/>
      <c r="F38" s="38"/>
      <c r="G38" s="38"/>
      <c r="H38" s="18">
        <v>1</v>
      </c>
      <c r="I38" s="18">
        <v>1000</v>
      </c>
      <c r="J38" s="18">
        <v>1000</v>
      </c>
      <c r="K38" s="26">
        <v>1</v>
      </c>
      <c r="L38" s="26">
        <v>1500</v>
      </c>
      <c r="M38" s="18">
        <v>1500</v>
      </c>
      <c r="N38" s="18">
        <v>2</v>
      </c>
      <c r="O38" s="18">
        <v>200</v>
      </c>
      <c r="P38" s="18">
        <v>400</v>
      </c>
      <c r="Q38" s="26">
        <v>1</v>
      </c>
      <c r="R38" s="26">
        <v>300</v>
      </c>
      <c r="S38" s="18">
        <v>300</v>
      </c>
      <c r="T38" s="30">
        <v>-4200</v>
      </c>
      <c r="U38" s="30">
        <v>0</v>
      </c>
      <c r="V38" s="30">
        <v>0</v>
      </c>
      <c r="W38" s="30"/>
      <c r="X38" s="43">
        <v>-4200</v>
      </c>
      <c r="Y38" s="27" t="s">
        <v>141</v>
      </c>
    </row>
    <row r="39" spans="1:25" s="11" customFormat="1" ht="27.75" customHeight="1" x14ac:dyDescent="0.25">
      <c r="A39" s="29" t="s">
        <v>100</v>
      </c>
      <c r="B39" s="25"/>
      <c r="C39" s="38"/>
      <c r="D39" s="38"/>
      <c r="E39" s="38"/>
      <c r="F39" s="38"/>
      <c r="G39" s="38"/>
      <c r="H39" s="31"/>
      <c r="I39" s="18"/>
      <c r="J39" s="18"/>
      <c r="K39" s="26"/>
      <c r="L39" s="26"/>
      <c r="M39" s="18"/>
      <c r="N39" s="18"/>
      <c r="O39" s="18"/>
      <c r="P39" s="18"/>
      <c r="Q39" s="26"/>
      <c r="R39" s="26"/>
      <c r="S39" s="18"/>
      <c r="T39" s="30"/>
      <c r="U39" s="28"/>
      <c r="V39" s="27"/>
      <c r="W39" s="27"/>
      <c r="X39" s="27"/>
      <c r="Y39" s="27"/>
    </row>
    <row r="40" spans="1:25" s="11" customFormat="1" ht="27.75" customHeight="1" x14ac:dyDescent="0.25">
      <c r="A40" s="29" t="s">
        <v>101</v>
      </c>
      <c r="B40" s="25"/>
      <c r="C40" s="38"/>
      <c r="D40" s="38"/>
      <c r="E40" s="38"/>
      <c r="F40" s="38"/>
      <c r="G40" s="38"/>
      <c r="H40" s="18"/>
      <c r="I40" s="18"/>
      <c r="J40" s="18"/>
      <c r="K40" s="26"/>
      <c r="L40" s="26"/>
      <c r="M40" s="18"/>
      <c r="N40" s="18"/>
      <c r="O40" s="18"/>
      <c r="P40" s="18"/>
      <c r="Q40" s="26"/>
      <c r="R40" s="26"/>
      <c r="S40" s="18"/>
      <c r="T40" s="30"/>
      <c r="U40" s="28"/>
      <c r="V40" s="27"/>
      <c r="W40" s="27"/>
      <c r="X40" s="27"/>
      <c r="Y40" s="27"/>
    </row>
    <row r="41" spans="1:25" s="11" customFormat="1" ht="27.75" customHeight="1" x14ac:dyDescent="0.25">
      <c r="A41" s="29" t="s">
        <v>102</v>
      </c>
      <c r="B41" s="25"/>
      <c r="C41" s="38"/>
      <c r="D41" s="38"/>
      <c r="E41" s="38"/>
      <c r="F41" s="38"/>
      <c r="G41" s="38"/>
      <c r="H41" s="18"/>
      <c r="I41" s="18"/>
      <c r="J41" s="18"/>
      <c r="K41" s="26"/>
      <c r="L41" s="26"/>
      <c r="M41" s="18"/>
      <c r="N41" s="18"/>
      <c r="O41" s="18"/>
      <c r="P41" s="18"/>
      <c r="Q41" s="26"/>
      <c r="R41" s="26"/>
      <c r="S41" s="18"/>
      <c r="T41" s="30"/>
      <c r="U41" s="28"/>
      <c r="V41" s="27"/>
      <c r="W41" s="27"/>
      <c r="X41" s="27"/>
      <c r="Y41" s="27"/>
    </row>
    <row r="42" spans="1:25" s="11" customFormat="1" ht="27.75" customHeight="1" x14ac:dyDescent="0.25">
      <c r="A42" s="29" t="s">
        <v>103</v>
      </c>
      <c r="B42" s="25"/>
      <c r="C42" s="38"/>
      <c r="D42" s="38"/>
      <c r="E42" s="38"/>
      <c r="F42" s="38"/>
      <c r="G42" s="38"/>
      <c r="H42" s="18"/>
      <c r="I42" s="18"/>
      <c r="J42" s="18"/>
      <c r="K42" s="26"/>
      <c r="L42" s="26"/>
      <c r="M42" s="18"/>
      <c r="N42" s="18"/>
      <c r="O42" s="18"/>
      <c r="P42" s="18"/>
      <c r="Q42" s="26"/>
      <c r="R42" s="26"/>
      <c r="S42" s="18"/>
      <c r="T42" s="30"/>
      <c r="U42" s="28"/>
      <c r="V42" s="27"/>
      <c r="W42" s="27"/>
      <c r="X42" s="27"/>
      <c r="Y42" s="27"/>
    </row>
    <row r="43" spans="1:25" s="11" customFormat="1" ht="27.75" customHeight="1" x14ac:dyDescent="0.25">
      <c r="A43" s="29" t="s">
        <v>104</v>
      </c>
      <c r="B43" s="25"/>
      <c r="C43" s="38"/>
      <c r="D43" s="38"/>
      <c r="E43" s="38"/>
      <c r="F43" s="38"/>
      <c r="G43" s="38"/>
      <c r="H43" s="18"/>
      <c r="I43" s="18"/>
      <c r="J43" s="18"/>
      <c r="K43" s="26"/>
      <c r="L43" s="26"/>
      <c r="M43" s="18"/>
      <c r="N43" s="18"/>
      <c r="O43" s="18"/>
      <c r="P43" s="18"/>
      <c r="Q43" s="26"/>
      <c r="R43" s="26"/>
      <c r="S43" s="18"/>
      <c r="T43" s="30"/>
      <c r="U43" s="28"/>
      <c r="V43" s="27"/>
      <c r="W43" s="27"/>
      <c r="X43" s="27"/>
      <c r="Y43" s="27"/>
    </row>
    <row r="44" spans="1:25" s="11" customFormat="1" ht="27.75" customHeight="1" x14ac:dyDescent="0.25">
      <c r="A44" s="29" t="s">
        <v>105</v>
      </c>
      <c r="B44" s="25"/>
      <c r="C44" s="38"/>
      <c r="D44" s="38"/>
      <c r="E44" s="38"/>
      <c r="F44" s="38"/>
      <c r="G44" s="38"/>
      <c r="H44" s="18"/>
      <c r="I44" s="18"/>
      <c r="J44" s="18"/>
      <c r="K44" s="26"/>
      <c r="L44" s="26"/>
      <c r="M44" s="18"/>
      <c r="N44" s="18"/>
      <c r="O44" s="18"/>
      <c r="P44" s="18"/>
      <c r="Q44" s="26"/>
      <c r="R44" s="26"/>
      <c r="S44" s="18"/>
      <c r="T44" s="30"/>
      <c r="U44" s="28"/>
      <c r="V44" s="27"/>
      <c r="W44" s="27"/>
      <c r="X44" s="27"/>
      <c r="Y44" s="27"/>
    </row>
    <row r="45" spans="1:25" s="11" customFormat="1" ht="27.75" customHeight="1" x14ac:dyDescent="0.25">
      <c r="A45" s="29" t="s">
        <v>106</v>
      </c>
      <c r="B45" s="25"/>
      <c r="C45" s="38"/>
      <c r="D45" s="38"/>
      <c r="E45" s="38"/>
      <c r="F45" s="38"/>
      <c r="G45" s="38"/>
      <c r="H45" s="18"/>
      <c r="I45" s="18"/>
      <c r="J45" s="18"/>
      <c r="K45" s="26"/>
      <c r="L45" s="26"/>
      <c r="M45" s="18"/>
      <c r="N45" s="18"/>
      <c r="O45" s="18"/>
      <c r="P45" s="18"/>
      <c r="Q45" s="26"/>
      <c r="R45" s="26"/>
      <c r="S45" s="18"/>
      <c r="T45" s="30"/>
      <c r="U45" s="28"/>
      <c r="V45" s="27"/>
      <c r="W45" s="27"/>
      <c r="X45" s="27"/>
      <c r="Y45" s="27"/>
    </row>
    <row r="46" spans="1:25" s="11" customFormat="1" ht="27.75" customHeight="1" x14ac:dyDescent="0.25">
      <c r="A46" s="29" t="s">
        <v>107</v>
      </c>
      <c r="B46" s="25"/>
      <c r="C46" s="38"/>
      <c r="D46" s="38"/>
      <c r="E46" s="38"/>
      <c r="F46" s="38"/>
      <c r="G46" s="38"/>
      <c r="H46" s="18"/>
      <c r="I46" s="18"/>
      <c r="J46" s="18"/>
      <c r="K46" s="26"/>
      <c r="L46" s="26"/>
      <c r="M46" s="18"/>
      <c r="N46" s="18"/>
      <c r="O46" s="18"/>
      <c r="P46" s="18"/>
      <c r="Q46" s="26"/>
      <c r="R46" s="26"/>
      <c r="S46" s="18"/>
      <c r="T46" s="30"/>
      <c r="U46" s="28"/>
      <c r="V46" s="27"/>
      <c r="W46" s="27"/>
      <c r="X46" s="27"/>
      <c r="Y46" s="27"/>
    </row>
    <row r="47" spans="1:25" s="11" customFormat="1" ht="27.75" customHeight="1" x14ac:dyDescent="0.25">
      <c r="A47" s="29" t="s">
        <v>108</v>
      </c>
      <c r="B47" s="25"/>
      <c r="C47" s="38"/>
      <c r="D47" s="38"/>
      <c r="E47" s="38"/>
      <c r="F47" s="38"/>
      <c r="G47" s="38"/>
      <c r="H47" s="18"/>
      <c r="I47" s="18"/>
      <c r="J47" s="18"/>
      <c r="K47" s="26"/>
      <c r="L47" s="26"/>
      <c r="M47" s="18"/>
      <c r="N47" s="18"/>
      <c r="O47" s="18"/>
      <c r="P47" s="18"/>
      <c r="Q47" s="26"/>
      <c r="R47" s="26"/>
      <c r="S47" s="18"/>
      <c r="T47" s="30"/>
      <c r="U47" s="28"/>
      <c r="V47" s="27"/>
      <c r="W47" s="27"/>
      <c r="X47" s="27"/>
      <c r="Y47" s="27"/>
    </row>
    <row r="48" spans="1:25" s="11" customFormat="1" ht="27.75" customHeight="1" x14ac:dyDescent="0.25">
      <c r="A48" s="29" t="s">
        <v>109</v>
      </c>
      <c r="B48" s="25"/>
      <c r="C48" s="38">
        <v>6</v>
      </c>
      <c r="D48" s="38">
        <v>3</v>
      </c>
      <c r="E48" s="38">
        <v>0</v>
      </c>
      <c r="F48" s="38">
        <v>0</v>
      </c>
      <c r="G48" s="38">
        <v>0</v>
      </c>
      <c r="H48" s="18">
        <v>5</v>
      </c>
      <c r="I48" s="18"/>
      <c r="J48" s="18"/>
      <c r="K48" s="26">
        <v>2</v>
      </c>
      <c r="L48" s="26"/>
      <c r="M48" s="18"/>
      <c r="N48" s="18">
        <v>5</v>
      </c>
      <c r="O48" s="18"/>
      <c r="P48" s="18"/>
      <c r="Q48" s="26">
        <v>3</v>
      </c>
      <c r="R48" s="26"/>
      <c r="S48" s="18"/>
      <c r="T48" s="30">
        <f>SUM(T36:T47)</f>
        <v>-9900</v>
      </c>
      <c r="U48" s="23">
        <f>SUM(U36:U47)</f>
        <v>4200</v>
      </c>
      <c r="V48" s="27">
        <f>SUM(V36:V47)</f>
        <v>1500</v>
      </c>
      <c r="W48" s="27"/>
      <c r="X48" s="43">
        <f>SUM(X36:X47)</f>
        <v>-4200</v>
      </c>
      <c r="Y48" s="27"/>
    </row>
    <row r="49" spans="1:25" s="11" customFormat="1" ht="300" customHeight="1" x14ac:dyDescent="0.25">
      <c r="A49" s="29" t="s">
        <v>138</v>
      </c>
      <c r="B49" s="25"/>
      <c r="C49" s="38" t="s">
        <v>134</v>
      </c>
      <c r="D49" s="38" t="s">
        <v>134</v>
      </c>
      <c r="E49" s="38"/>
      <c r="F49" s="38"/>
      <c r="G49" s="38"/>
      <c r="H49" s="18" t="s">
        <v>135</v>
      </c>
      <c r="I49" s="18"/>
      <c r="J49" s="18"/>
      <c r="K49" s="18" t="s">
        <v>135</v>
      </c>
      <c r="L49" s="26"/>
      <c r="M49" s="18"/>
      <c r="N49" s="18" t="s">
        <v>135</v>
      </c>
      <c r="O49" s="18"/>
      <c r="P49" s="18"/>
      <c r="Q49" s="18" t="s">
        <v>135</v>
      </c>
      <c r="R49" s="26"/>
      <c r="S49" s="18"/>
      <c r="T49" s="30"/>
      <c r="U49" s="27"/>
      <c r="V49" s="27"/>
      <c r="W49" s="27" t="s">
        <v>143</v>
      </c>
      <c r="X49" s="27"/>
      <c r="Y49" s="27" t="s">
        <v>142</v>
      </c>
    </row>
    <row r="50" spans="1:25" ht="27.75" customHeight="1" x14ac:dyDescent="0.25">
      <c r="A50" s="16" t="s">
        <v>145</v>
      </c>
      <c r="B50" s="6"/>
      <c r="C50" s="6"/>
      <c r="D50" s="6"/>
      <c r="E50" s="6"/>
      <c r="F50" s="6"/>
      <c r="G50" s="6"/>
      <c r="H50" s="6"/>
      <c r="I50" s="6"/>
      <c r="J50" s="6"/>
    </row>
    <row r="51" spans="1:25" ht="27.75" customHeight="1" x14ac:dyDescent="0.25">
      <c r="A51" s="16" t="s">
        <v>146</v>
      </c>
      <c r="B51" s="6"/>
      <c r="C51" s="6"/>
      <c r="D51" s="6"/>
      <c r="E51" s="6"/>
      <c r="F51" s="6"/>
      <c r="G51" s="6"/>
      <c r="H51" s="6"/>
      <c r="I51" s="6"/>
      <c r="J51" s="6"/>
    </row>
    <row r="52" spans="1:25" ht="27.75" customHeight="1" x14ac:dyDescent="0.25">
      <c r="A52" s="6" t="s">
        <v>149</v>
      </c>
      <c r="B52" s="6"/>
      <c r="C52" s="6"/>
      <c r="D52" s="6"/>
      <c r="E52" s="6"/>
      <c r="F52" s="6"/>
      <c r="G52" s="6"/>
      <c r="H52" s="6"/>
      <c r="I52" s="6"/>
      <c r="J52" s="6"/>
    </row>
    <row r="53" spans="1:25" ht="27.75" customHeight="1" x14ac:dyDescent="0.25">
      <c r="A53" s="52" t="s">
        <v>153</v>
      </c>
      <c r="B53" s="6"/>
      <c r="C53" s="6"/>
      <c r="D53" s="6"/>
      <c r="E53" s="6"/>
      <c r="F53" s="6"/>
      <c r="G53" s="6"/>
      <c r="H53" s="6"/>
      <c r="I53" s="6"/>
      <c r="J53" s="6"/>
    </row>
    <row r="54" spans="1:25" ht="27.75" customHeight="1" x14ac:dyDescent="0.25">
      <c r="A54" s="16"/>
      <c r="B54" s="6"/>
      <c r="C54" s="6"/>
      <c r="D54" s="6"/>
      <c r="E54" s="6"/>
      <c r="F54" s="6"/>
      <c r="G54" s="6"/>
      <c r="H54" s="6"/>
      <c r="I54" s="6"/>
      <c r="J54" s="6"/>
    </row>
    <row r="57" spans="1:25" x14ac:dyDescent="0.25">
      <c r="A57" t="s">
        <v>16</v>
      </c>
    </row>
    <row r="59" spans="1:25" x14ac:dyDescent="0.25">
      <c r="A59" s="10" t="s">
        <v>17</v>
      </c>
      <c r="B59" s="10"/>
      <c r="C59" s="10"/>
      <c r="D59" s="10"/>
      <c r="E59" s="10"/>
      <c r="F59" s="10"/>
      <c r="G59" s="10"/>
    </row>
    <row r="61" spans="1:25" x14ac:dyDescent="0.25">
      <c r="A61" s="1" t="s">
        <v>18</v>
      </c>
    </row>
    <row r="63" spans="1:25" x14ac:dyDescent="0.25">
      <c r="A63" s="7" t="s">
        <v>26</v>
      </c>
      <c r="B63" s="8" t="s">
        <v>19</v>
      </c>
      <c r="C63" s="7" t="s">
        <v>27</v>
      </c>
      <c r="D63" s="8" t="s">
        <v>19</v>
      </c>
      <c r="E63" s="7" t="s">
        <v>29</v>
      </c>
      <c r="F63" s="9"/>
      <c r="G63" s="9" t="s">
        <v>19</v>
      </c>
      <c r="H63" s="45" t="s">
        <v>28</v>
      </c>
      <c r="I63" s="46" t="s">
        <v>19</v>
      </c>
    </row>
    <row r="64" spans="1:25" x14ac:dyDescent="0.25">
      <c r="A64" s="7" t="s">
        <v>26</v>
      </c>
      <c r="B64" s="8" t="s">
        <v>20</v>
      </c>
      <c r="C64" s="7" t="s">
        <v>27</v>
      </c>
      <c r="D64" s="8" t="s">
        <v>20</v>
      </c>
      <c r="E64" s="7" t="s">
        <v>29</v>
      </c>
      <c r="F64" s="9"/>
      <c r="G64" s="9" t="s">
        <v>20</v>
      </c>
      <c r="H64" s="45" t="s">
        <v>28</v>
      </c>
      <c r="I64" s="46" t="s">
        <v>20</v>
      </c>
    </row>
    <row r="65" spans="1:9" x14ac:dyDescent="0.25">
      <c r="A65" s="7" t="s">
        <v>26</v>
      </c>
      <c r="B65" s="8" t="s">
        <v>21</v>
      </c>
      <c r="C65" s="7" t="s">
        <v>27</v>
      </c>
      <c r="D65" s="8" t="s">
        <v>21</v>
      </c>
      <c r="E65" s="7" t="s">
        <v>29</v>
      </c>
      <c r="F65" s="9"/>
      <c r="G65" s="9" t="s">
        <v>21</v>
      </c>
      <c r="H65" s="7" t="s">
        <v>28</v>
      </c>
      <c r="I65" s="8" t="s">
        <v>21</v>
      </c>
    </row>
    <row r="66" spans="1:9" x14ac:dyDescent="0.25">
      <c r="A66" s="7" t="s">
        <v>26</v>
      </c>
      <c r="B66" s="8" t="s">
        <v>22</v>
      </c>
      <c r="C66" s="7" t="s">
        <v>27</v>
      </c>
      <c r="D66" s="8" t="s">
        <v>22</v>
      </c>
      <c r="E66" s="7" t="s">
        <v>29</v>
      </c>
      <c r="F66" s="9"/>
      <c r="G66" s="9" t="s">
        <v>22</v>
      </c>
      <c r="H66" s="49" t="s">
        <v>28</v>
      </c>
      <c r="I66" s="50" t="s">
        <v>22</v>
      </c>
    </row>
    <row r="67" spans="1:9" x14ac:dyDescent="0.25">
      <c r="A67" s="7" t="s">
        <v>26</v>
      </c>
      <c r="B67" s="8" t="s">
        <v>23</v>
      </c>
      <c r="C67" s="7" t="s">
        <v>27</v>
      </c>
      <c r="D67" s="8" t="s">
        <v>23</v>
      </c>
      <c r="E67" s="7" t="s">
        <v>29</v>
      </c>
      <c r="F67" s="9"/>
      <c r="G67" s="9" t="s">
        <v>23</v>
      </c>
      <c r="H67" s="47" t="s">
        <v>28</v>
      </c>
      <c r="I67" s="48" t="s">
        <v>23</v>
      </c>
    </row>
    <row r="68" spans="1:9" x14ac:dyDescent="0.25">
      <c r="A68" s="7" t="s">
        <v>26</v>
      </c>
      <c r="B68" s="8" t="s">
        <v>24</v>
      </c>
      <c r="C68" s="7" t="s">
        <v>27</v>
      </c>
      <c r="D68" s="8" t="s">
        <v>24</v>
      </c>
      <c r="E68" s="7" t="s">
        <v>29</v>
      </c>
      <c r="F68" s="9"/>
      <c r="G68" s="9" t="s">
        <v>24</v>
      </c>
      <c r="H68" s="7" t="s">
        <v>28</v>
      </c>
      <c r="I68" s="8" t="s">
        <v>24</v>
      </c>
    </row>
    <row r="69" spans="1:9" x14ac:dyDescent="0.25">
      <c r="A69" s="7" t="s">
        <v>26</v>
      </c>
      <c r="B69" s="8" t="s">
        <v>25</v>
      </c>
      <c r="C69" s="7" t="s">
        <v>27</v>
      </c>
      <c r="D69" s="8" t="s">
        <v>25</v>
      </c>
      <c r="E69" s="7" t="s">
        <v>29</v>
      </c>
      <c r="F69" s="9"/>
      <c r="G69" s="9" t="s">
        <v>25</v>
      </c>
      <c r="H69" s="49" t="s">
        <v>28</v>
      </c>
      <c r="I69" s="50" t="s">
        <v>25</v>
      </c>
    </row>
    <row r="71" spans="1:9" x14ac:dyDescent="0.25">
      <c r="A71" t="s">
        <v>87</v>
      </c>
    </row>
    <row r="73" spans="1:9" x14ac:dyDescent="0.25">
      <c r="A73" t="s">
        <v>88</v>
      </c>
    </row>
    <row r="75" spans="1:9" x14ac:dyDescent="0.25">
      <c r="A75" t="s">
        <v>89</v>
      </c>
    </row>
    <row r="76" spans="1:9" x14ac:dyDescent="0.25">
      <c r="A76" t="s">
        <v>90</v>
      </c>
    </row>
    <row r="77" spans="1:9" x14ac:dyDescent="0.25">
      <c r="A77" t="s">
        <v>91</v>
      </c>
    </row>
    <row r="78" spans="1:9" x14ac:dyDescent="0.25">
      <c r="A78" t="s">
        <v>92</v>
      </c>
    </row>
    <row r="80" spans="1:9" x14ac:dyDescent="0.25">
      <c r="A80" t="s">
        <v>93</v>
      </c>
    </row>
    <row r="82" spans="1:14" x14ac:dyDescent="0.25">
      <c r="A82" s="7" t="s">
        <v>26</v>
      </c>
      <c r="B82" s="8" t="s">
        <v>19</v>
      </c>
      <c r="C82" s="9"/>
      <c r="D82" s="9"/>
      <c r="E82" s="9"/>
      <c r="F82" s="9"/>
      <c r="G82" s="9"/>
      <c r="H82" s="7" t="s">
        <v>27</v>
      </c>
      <c r="I82" s="8" t="s">
        <v>19</v>
      </c>
      <c r="J82" s="9"/>
      <c r="K82" s="7" t="s">
        <v>29</v>
      </c>
      <c r="L82" s="9"/>
      <c r="M82" s="8" t="s">
        <v>19</v>
      </c>
      <c r="N82" s="8" t="s">
        <v>19</v>
      </c>
    </row>
    <row r="83" spans="1:14" x14ac:dyDescent="0.25">
      <c r="A83" s="7" t="s">
        <v>26</v>
      </c>
      <c r="B83" s="8" t="s">
        <v>20</v>
      </c>
      <c r="C83" s="9"/>
      <c r="D83" s="9"/>
      <c r="E83" s="9"/>
      <c r="F83" s="9"/>
      <c r="G83" s="9"/>
      <c r="H83" s="7" t="s">
        <v>27</v>
      </c>
      <c r="I83" s="8" t="s">
        <v>20</v>
      </c>
      <c r="J83" s="9"/>
      <c r="K83" s="7" t="s">
        <v>29</v>
      </c>
      <c r="L83" s="9"/>
      <c r="M83" s="8" t="s">
        <v>20</v>
      </c>
      <c r="N83" s="8" t="s">
        <v>20</v>
      </c>
    </row>
    <row r="84" spans="1:14" x14ac:dyDescent="0.25">
      <c r="A84" s="7" t="s">
        <v>26</v>
      </c>
      <c r="B84" s="8" t="s">
        <v>21</v>
      </c>
      <c r="C84" s="9"/>
      <c r="D84" s="9"/>
      <c r="E84" s="9"/>
      <c r="F84" s="9"/>
      <c r="G84" s="9"/>
      <c r="H84" s="7" t="s">
        <v>27</v>
      </c>
      <c r="I84" s="8" t="s">
        <v>21</v>
      </c>
      <c r="J84" s="9"/>
      <c r="K84" s="7" t="s">
        <v>29</v>
      </c>
      <c r="L84" s="9"/>
      <c r="M84" s="8" t="s">
        <v>21</v>
      </c>
      <c r="N84" s="8" t="s">
        <v>21</v>
      </c>
    </row>
    <row r="85" spans="1:14" x14ac:dyDescent="0.25">
      <c r="A85" s="7" t="s">
        <v>26</v>
      </c>
      <c r="B85" s="8" t="s">
        <v>22</v>
      </c>
      <c r="C85" s="9"/>
      <c r="D85" s="9"/>
      <c r="E85" s="9"/>
      <c r="F85" s="9"/>
      <c r="G85" s="9"/>
      <c r="H85" s="7" t="s">
        <v>27</v>
      </c>
      <c r="I85" s="8" t="s">
        <v>22</v>
      </c>
      <c r="J85" s="9"/>
      <c r="K85" s="7" t="s">
        <v>29</v>
      </c>
      <c r="L85" s="9"/>
      <c r="M85" s="8" t="s">
        <v>22</v>
      </c>
      <c r="N85" s="8" t="s">
        <v>22</v>
      </c>
    </row>
    <row r="86" spans="1:14" x14ac:dyDescent="0.25">
      <c r="A86" s="7" t="s">
        <v>26</v>
      </c>
      <c r="B86" s="8" t="s">
        <v>23</v>
      </c>
      <c r="C86" s="9"/>
      <c r="D86" s="9"/>
      <c r="E86" s="9"/>
      <c r="F86" s="9"/>
      <c r="G86" s="9"/>
      <c r="H86" s="7" t="s">
        <v>27</v>
      </c>
      <c r="I86" s="8" t="s">
        <v>23</v>
      </c>
      <c r="J86" s="9"/>
      <c r="K86" s="7" t="s">
        <v>29</v>
      </c>
      <c r="L86" s="9"/>
      <c r="M86" s="8" t="s">
        <v>23</v>
      </c>
      <c r="N86" s="8" t="s">
        <v>23</v>
      </c>
    </row>
    <row r="87" spans="1:14" x14ac:dyDescent="0.25">
      <c r="A87" s="7" t="s">
        <v>26</v>
      </c>
      <c r="B87" s="8" t="s">
        <v>24</v>
      </c>
      <c r="C87" s="9"/>
      <c r="D87" s="9"/>
      <c r="E87" s="9"/>
      <c r="F87" s="9"/>
      <c r="G87" s="9"/>
      <c r="H87" s="7" t="s">
        <v>27</v>
      </c>
      <c r="I87" s="8" t="s">
        <v>24</v>
      </c>
      <c r="J87" s="9"/>
      <c r="K87" s="7" t="s">
        <v>29</v>
      </c>
      <c r="L87" s="9"/>
      <c r="M87" s="8" t="s">
        <v>24</v>
      </c>
      <c r="N87" s="8" t="s">
        <v>24</v>
      </c>
    </row>
    <row r="88" spans="1:14" x14ac:dyDescent="0.25">
      <c r="A88" s="7" t="s">
        <v>26</v>
      </c>
      <c r="B88" s="8" t="s">
        <v>25</v>
      </c>
      <c r="C88" s="9"/>
      <c r="D88" s="9"/>
      <c r="E88" s="9"/>
      <c r="F88" s="9"/>
      <c r="G88" s="9"/>
      <c r="H88" s="7" t="s">
        <v>27</v>
      </c>
      <c r="I88" s="8" t="s">
        <v>25</v>
      </c>
      <c r="J88" s="9"/>
      <c r="K88" s="7" t="s">
        <v>29</v>
      </c>
      <c r="L88" s="9"/>
      <c r="M88" s="8" t="s">
        <v>25</v>
      </c>
      <c r="N88" s="8" t="s">
        <v>25</v>
      </c>
    </row>
    <row r="90" spans="1:14" x14ac:dyDescent="0.25">
      <c r="A90" t="s">
        <v>94</v>
      </c>
    </row>
    <row r="92" spans="1:14" x14ac:dyDescent="0.25">
      <c r="A92" t="s">
        <v>31</v>
      </c>
    </row>
    <row r="93" spans="1:14" x14ac:dyDescent="0.25">
      <c r="A93" t="s">
        <v>95</v>
      </c>
    </row>
    <row r="94" spans="1:14" x14ac:dyDescent="0.25">
      <c r="A94" t="s">
        <v>30</v>
      </c>
    </row>
    <row r="96" spans="1:14" x14ac:dyDescent="0.25">
      <c r="A96" t="s">
        <v>32</v>
      </c>
    </row>
    <row r="98" spans="1:1" x14ac:dyDescent="0.25">
      <c r="A98" t="s">
        <v>33</v>
      </c>
    </row>
    <row r="100" spans="1:1" x14ac:dyDescent="0.25">
      <c r="A100" t="s">
        <v>34</v>
      </c>
    </row>
    <row r="102" spans="1:1" x14ac:dyDescent="0.25">
      <c r="A102" t="s">
        <v>96</v>
      </c>
    </row>
    <row r="103" spans="1:1" x14ac:dyDescent="0.25">
      <c r="A103" t="s">
        <v>35</v>
      </c>
    </row>
    <row r="104" spans="1:1" x14ac:dyDescent="0.25">
      <c r="A104" t="s">
        <v>148</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DC6C-BCEE-4164-BD66-03DA55DE97C8}">
  <dimension ref="A1:O26"/>
  <sheetViews>
    <sheetView workbookViewId="0">
      <selection activeCell="E10" sqref="E10"/>
    </sheetView>
  </sheetViews>
  <sheetFormatPr baseColWidth="10" defaultRowHeight="15" x14ac:dyDescent="0.25"/>
  <cols>
    <col min="2" max="2" width="46.5703125" customWidth="1"/>
    <col min="3" max="3" width="23.7109375" customWidth="1"/>
    <col min="4" max="4" width="18" customWidth="1"/>
    <col min="6" max="6" width="17.140625" customWidth="1"/>
    <col min="10" max="10" width="6.28515625" customWidth="1"/>
    <col min="11" max="11" width="8.140625" customWidth="1"/>
    <col min="12" max="12" width="8.42578125" customWidth="1"/>
  </cols>
  <sheetData>
    <row r="1" spans="1:15" x14ac:dyDescent="0.25">
      <c r="A1" t="s">
        <v>11</v>
      </c>
    </row>
    <row r="3" spans="1:15" x14ac:dyDescent="0.25">
      <c r="A3" t="s">
        <v>12</v>
      </c>
    </row>
    <row r="4" spans="1:15" x14ac:dyDescent="0.25">
      <c r="E4" t="s">
        <v>50</v>
      </c>
      <c r="G4" t="s">
        <v>49</v>
      </c>
    </row>
    <row r="5" spans="1:15" x14ac:dyDescent="0.25">
      <c r="A5" t="s">
        <v>13</v>
      </c>
      <c r="B5" t="s">
        <v>14</v>
      </c>
      <c r="C5" t="s">
        <v>15</v>
      </c>
      <c r="D5" t="s">
        <v>40</v>
      </c>
      <c r="E5" t="s">
        <v>41</v>
      </c>
      <c r="F5" t="s">
        <v>44</v>
      </c>
      <c r="G5" t="s">
        <v>41</v>
      </c>
      <c r="H5" t="s">
        <v>44</v>
      </c>
      <c r="J5" t="s">
        <v>51</v>
      </c>
      <c r="K5" t="s">
        <v>52</v>
      </c>
      <c r="L5" t="s">
        <v>53</v>
      </c>
      <c r="M5" t="s">
        <v>85</v>
      </c>
      <c r="N5" s="11" t="s">
        <v>86</v>
      </c>
      <c r="O5" s="11" t="s">
        <v>55</v>
      </c>
    </row>
    <row r="6" spans="1:15" x14ac:dyDescent="0.25">
      <c r="A6" s="5">
        <v>46174</v>
      </c>
      <c r="B6" s="10" t="s">
        <v>72</v>
      </c>
      <c r="C6" s="12" t="s">
        <v>45</v>
      </c>
      <c r="D6" t="s">
        <v>46</v>
      </c>
      <c r="G6" s="12">
        <v>2</v>
      </c>
      <c r="H6" s="10">
        <v>1000</v>
      </c>
      <c r="J6">
        <v>21</v>
      </c>
      <c r="K6">
        <v>420</v>
      </c>
      <c r="M6">
        <v>-2420</v>
      </c>
      <c r="N6">
        <v>2420</v>
      </c>
      <c r="O6">
        <v>2420</v>
      </c>
    </row>
    <row r="7" spans="1:15" x14ac:dyDescent="0.25">
      <c r="A7" s="5">
        <v>46174</v>
      </c>
      <c r="B7" t="s">
        <v>60</v>
      </c>
      <c r="C7" t="s">
        <v>47</v>
      </c>
      <c r="D7" s="11" t="s">
        <v>118</v>
      </c>
      <c r="E7" s="15">
        <v>1000</v>
      </c>
      <c r="F7">
        <v>10</v>
      </c>
      <c r="J7">
        <v>21</v>
      </c>
      <c r="K7">
        <v>2100</v>
      </c>
      <c r="M7">
        <v>-12100</v>
      </c>
      <c r="O7">
        <v>9680</v>
      </c>
    </row>
    <row r="10" spans="1:15" x14ac:dyDescent="0.25">
      <c r="E10" t="s">
        <v>155</v>
      </c>
    </row>
    <row r="15" spans="1:15" x14ac:dyDescent="0.25">
      <c r="A15" t="s">
        <v>14</v>
      </c>
      <c r="B15" s="1" t="s">
        <v>150</v>
      </c>
    </row>
    <row r="16" spans="1:15" x14ac:dyDescent="0.25">
      <c r="B16" s="1" t="s">
        <v>151</v>
      </c>
    </row>
    <row r="17" spans="1:2" x14ac:dyDescent="0.25">
      <c r="B17" s="1"/>
    </row>
    <row r="19" spans="1:2" x14ac:dyDescent="0.25">
      <c r="A19" t="s">
        <v>15</v>
      </c>
    </row>
    <row r="20" spans="1:2" x14ac:dyDescent="0.25">
      <c r="A20" t="s">
        <v>152</v>
      </c>
    </row>
    <row r="21" spans="1:2" x14ac:dyDescent="0.25">
      <c r="A21" t="s">
        <v>44</v>
      </c>
      <c r="B21" s="1"/>
    </row>
    <row r="22" spans="1:2" x14ac:dyDescent="0.25">
      <c r="A22" s="16" t="s">
        <v>154</v>
      </c>
    </row>
    <row r="25" spans="1:2" x14ac:dyDescent="0.25">
      <c r="A25" t="s">
        <v>37</v>
      </c>
    </row>
    <row r="26" spans="1:2" x14ac:dyDescent="0.25">
      <c r="A26" t="s">
        <v>38</v>
      </c>
      <c r="B26" t="s">
        <v>39</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50E39-3426-4C14-940C-A835734AD7D0}">
  <dimension ref="A1:Q29"/>
  <sheetViews>
    <sheetView topLeftCell="C1" workbookViewId="0">
      <selection activeCell="P5" sqref="P5"/>
    </sheetView>
  </sheetViews>
  <sheetFormatPr baseColWidth="10" defaultRowHeight="15" x14ac:dyDescent="0.25"/>
  <cols>
    <col min="2" max="2" width="46.5703125" customWidth="1"/>
    <col min="3" max="3" width="23.7109375" customWidth="1"/>
    <col min="4" max="4" width="18" customWidth="1"/>
    <col min="6" max="7" width="17.140625" customWidth="1"/>
    <col min="11" max="11" width="6.28515625" customWidth="1"/>
    <col min="12" max="12" width="8.140625" customWidth="1"/>
    <col min="13" max="13" width="8.42578125" customWidth="1"/>
  </cols>
  <sheetData>
    <row r="1" spans="1:17" x14ac:dyDescent="0.25">
      <c r="A1" t="s">
        <v>80</v>
      </c>
    </row>
    <row r="3" spans="1:17" x14ac:dyDescent="0.25">
      <c r="A3" t="s">
        <v>81</v>
      </c>
    </row>
    <row r="4" spans="1:17" x14ac:dyDescent="0.25">
      <c r="E4" t="s">
        <v>49</v>
      </c>
      <c r="H4" t="s">
        <v>50</v>
      </c>
    </row>
    <row r="5" spans="1:17" ht="45" x14ac:dyDescent="0.25">
      <c r="A5" t="s">
        <v>13</v>
      </c>
      <c r="B5" t="s">
        <v>14</v>
      </c>
      <c r="C5" t="s">
        <v>15</v>
      </c>
      <c r="D5" s="14" t="s">
        <v>40</v>
      </c>
      <c r="E5" t="s">
        <v>41</v>
      </c>
      <c r="F5" t="s">
        <v>44</v>
      </c>
      <c r="G5" s="13" t="s">
        <v>58</v>
      </c>
      <c r="H5" t="s">
        <v>41</v>
      </c>
      <c r="I5" t="s">
        <v>44</v>
      </c>
      <c r="K5" t="s">
        <v>51</v>
      </c>
      <c r="L5" t="s">
        <v>52</v>
      </c>
      <c r="M5" t="s">
        <v>53</v>
      </c>
      <c r="N5" t="s">
        <v>54</v>
      </c>
      <c r="O5" t="s">
        <v>84</v>
      </c>
      <c r="Q5" t="s">
        <v>55</v>
      </c>
    </row>
    <row r="6" spans="1:17" x14ac:dyDescent="0.25">
      <c r="A6" s="5">
        <v>46174</v>
      </c>
      <c r="B6" s="10" t="s">
        <v>72</v>
      </c>
      <c r="C6" s="12" t="s">
        <v>74</v>
      </c>
      <c r="D6" t="s">
        <v>83</v>
      </c>
      <c r="E6">
        <v>1</v>
      </c>
      <c r="F6">
        <v>1000</v>
      </c>
      <c r="G6">
        <v>5</v>
      </c>
      <c r="H6" s="12">
        <v>2</v>
      </c>
      <c r="I6" s="10">
        <v>1000</v>
      </c>
      <c r="K6">
        <v>21</v>
      </c>
      <c r="L6">
        <v>420</v>
      </c>
      <c r="N6">
        <v>-2420</v>
      </c>
      <c r="Q6">
        <v>2420</v>
      </c>
    </row>
    <row r="7" spans="1:17" ht="30" x14ac:dyDescent="0.25">
      <c r="A7" s="5">
        <v>46174</v>
      </c>
      <c r="B7" t="s">
        <v>60</v>
      </c>
      <c r="C7" t="s">
        <v>47</v>
      </c>
      <c r="D7" s="11" t="s">
        <v>48</v>
      </c>
      <c r="E7" s="15"/>
      <c r="H7" s="15">
        <v>1000</v>
      </c>
      <c r="I7">
        <v>10</v>
      </c>
      <c r="K7">
        <v>21</v>
      </c>
      <c r="L7">
        <v>2100</v>
      </c>
      <c r="N7">
        <v>-12100</v>
      </c>
      <c r="Q7">
        <v>-9680</v>
      </c>
    </row>
    <row r="10" spans="1:17" x14ac:dyDescent="0.25">
      <c r="B10" t="s">
        <v>56</v>
      </c>
    </row>
    <row r="11" spans="1:17" x14ac:dyDescent="0.25">
      <c r="B11" t="s">
        <v>57</v>
      </c>
    </row>
    <row r="12" spans="1:17" x14ac:dyDescent="0.25">
      <c r="B12" t="s">
        <v>59</v>
      </c>
    </row>
    <row r="18" spans="1:3" x14ac:dyDescent="0.25">
      <c r="A18" t="s">
        <v>14</v>
      </c>
      <c r="B18" s="1" t="s">
        <v>77</v>
      </c>
    </row>
    <row r="19" spans="1:3" x14ac:dyDescent="0.25">
      <c r="B19" s="1" t="s">
        <v>78</v>
      </c>
    </row>
    <row r="20" spans="1:3" x14ac:dyDescent="0.25">
      <c r="B20" s="1" t="s">
        <v>61</v>
      </c>
    </row>
    <row r="22" spans="1:3" x14ac:dyDescent="0.25">
      <c r="A22" t="s">
        <v>15</v>
      </c>
      <c r="C22" t="s">
        <v>36</v>
      </c>
    </row>
    <row r="24" spans="1:3" x14ac:dyDescent="0.25">
      <c r="A24" t="s">
        <v>42</v>
      </c>
      <c r="B24" s="1" t="s">
        <v>43</v>
      </c>
    </row>
    <row r="28" spans="1:3" x14ac:dyDescent="0.25">
      <c r="A28" t="s">
        <v>37</v>
      </c>
    </row>
    <row r="29" spans="1:3" x14ac:dyDescent="0.25">
      <c r="A29" t="s">
        <v>38</v>
      </c>
      <c r="B29"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4E91-32E1-40DF-89D4-4FFF6C0B01FC}">
  <dimension ref="A1:H18"/>
  <sheetViews>
    <sheetView workbookViewId="0">
      <selection activeCell="D8" sqref="D8"/>
    </sheetView>
  </sheetViews>
  <sheetFormatPr baseColWidth="10" defaultRowHeight="15" x14ac:dyDescent="0.25"/>
  <cols>
    <col min="4" max="4" width="29" customWidth="1"/>
    <col min="5" max="5" width="63.140625" customWidth="1"/>
  </cols>
  <sheetData>
    <row r="1" spans="1:8" x14ac:dyDescent="0.25">
      <c r="A1" t="s">
        <v>62</v>
      </c>
    </row>
    <row r="3" spans="1:8" x14ac:dyDescent="0.25">
      <c r="A3" t="s">
        <v>63</v>
      </c>
      <c r="B3" t="s">
        <v>13</v>
      </c>
      <c r="C3" t="s">
        <v>64</v>
      </c>
      <c r="D3" t="s">
        <v>70</v>
      </c>
      <c r="E3" t="s">
        <v>65</v>
      </c>
      <c r="F3" t="s">
        <v>66</v>
      </c>
      <c r="G3" t="s">
        <v>67</v>
      </c>
      <c r="H3" t="s">
        <v>68</v>
      </c>
    </row>
    <row r="4" spans="1:8" ht="60" x14ac:dyDescent="0.25">
      <c r="A4">
        <v>1</v>
      </c>
      <c r="B4" s="5">
        <v>46174</v>
      </c>
      <c r="C4" s="11" t="s">
        <v>69</v>
      </c>
      <c r="D4" s="11" t="s">
        <v>47</v>
      </c>
      <c r="E4" t="s">
        <v>73</v>
      </c>
      <c r="F4">
        <v>1000</v>
      </c>
      <c r="H4">
        <v>1000</v>
      </c>
    </row>
    <row r="5" spans="1:8" x14ac:dyDescent="0.25">
      <c r="A5">
        <v>2</v>
      </c>
      <c r="B5" s="5">
        <v>46174</v>
      </c>
      <c r="D5" s="2" t="s">
        <v>9</v>
      </c>
      <c r="E5" t="s">
        <v>72</v>
      </c>
      <c r="G5">
        <v>5</v>
      </c>
      <c r="H5">
        <v>995</v>
      </c>
    </row>
    <row r="6" spans="1:8" x14ac:dyDescent="0.25">
      <c r="A6">
        <v>3</v>
      </c>
      <c r="B6" s="5">
        <v>46174</v>
      </c>
      <c r="D6" s="53" t="s">
        <v>71</v>
      </c>
      <c r="E6" t="s">
        <v>72</v>
      </c>
      <c r="F6">
        <v>1</v>
      </c>
      <c r="H6">
        <v>996</v>
      </c>
    </row>
    <row r="7" spans="1:8" x14ac:dyDescent="0.25">
      <c r="A7">
        <v>4</v>
      </c>
      <c r="B7" s="5">
        <v>46174</v>
      </c>
      <c r="D7" s="2" t="s">
        <v>74</v>
      </c>
      <c r="E7" t="s">
        <v>72</v>
      </c>
      <c r="G7">
        <v>1</v>
      </c>
      <c r="H7">
        <v>996</v>
      </c>
    </row>
    <row r="8" spans="1:8" x14ac:dyDescent="0.25">
      <c r="B8" s="5"/>
    </row>
    <row r="9" spans="1:8" x14ac:dyDescent="0.25">
      <c r="A9" t="s">
        <v>82</v>
      </c>
    </row>
    <row r="10" spans="1:8" x14ac:dyDescent="0.25">
      <c r="A10" s="1"/>
    </row>
    <row r="11" spans="1:8" x14ac:dyDescent="0.25">
      <c r="A11" s="1"/>
    </row>
    <row r="12" spans="1:8" x14ac:dyDescent="0.25">
      <c r="A12" s="1"/>
    </row>
    <row r="13" spans="1:8" x14ac:dyDescent="0.25">
      <c r="A13" s="55"/>
      <c r="B13" t="s">
        <v>156</v>
      </c>
    </row>
    <row r="14" spans="1:8" x14ac:dyDescent="0.25">
      <c r="A14" s="54"/>
      <c r="B14" t="s">
        <v>157</v>
      </c>
    </row>
    <row r="15" spans="1:8" x14ac:dyDescent="0.25">
      <c r="A15" s="1"/>
    </row>
    <row r="16" spans="1:8" x14ac:dyDescent="0.25">
      <c r="A16" t="s">
        <v>158</v>
      </c>
    </row>
    <row r="17" spans="1:1" x14ac:dyDescent="0.25">
      <c r="A17" s="1"/>
    </row>
    <row r="18" spans="1:1" x14ac:dyDescent="0.25">
      <c r="A1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CLIENTES</vt:lpstr>
      <vt:lpstr>CAJA</vt:lpstr>
      <vt:lpstr>CAJA BANCARIA</vt:lpstr>
      <vt:lpstr>INVENTARIO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Oasis Desktop</dc:creator>
  <cp:lastModifiedBy>Oasis Desktop</cp:lastModifiedBy>
  <dcterms:created xsi:type="dcterms:W3CDTF">2026-06-01T14:14:55Z</dcterms:created>
  <dcterms:modified xsi:type="dcterms:W3CDTF">2026-06-03T19:15:59Z</dcterms:modified>
</cp:coreProperties>
</file>